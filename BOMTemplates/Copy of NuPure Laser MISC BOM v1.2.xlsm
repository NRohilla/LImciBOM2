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D:\Testing Projects\Projects\OnlineBOM\"/>
    </mc:Choice>
  </mc:AlternateContent>
  <xr:revisionPtr revIDLastSave="0" documentId="8_{818D9FED-4F3C-4C51-828D-A3FE108DC739}" xr6:coauthVersionLast="45" xr6:coauthVersionMax="45" xr10:uidLastSave="{00000000-0000-0000-0000-000000000000}"/>
  <bookViews>
    <workbookView xWindow="28680" yWindow="-120" windowWidth="29040" windowHeight="15840" tabRatio="745" activeTab="1" xr2:uid="{00000000-000D-0000-FFFF-FFFF00000000}"/>
  </bookViews>
  <sheets>
    <sheet name="Start" sheetId="4" r:id="rId1"/>
    <sheet name="Cover" sheetId="8" r:id="rId2"/>
    <sheet name="Authorisation" sheetId="14" r:id="rId3"/>
    <sheet name="PASS" sheetId="16" r:id="rId4"/>
  </sheets>
  <definedNames>
    <definedName name="_xlnm._FilterDatabase" localSheetId="1" hidden="1">Cover!$C$8:$D$8</definedName>
    <definedName name="Account">Cover!$D$12</definedName>
    <definedName name="Address1">Cover!$E$34</definedName>
    <definedName name="E29a">Cover!$E$35</definedName>
    <definedName name="Email">Cover!$E$42</definedName>
    <definedName name="erp_code">Cover!$E$32</definedName>
    <definedName name="JobTitle">Cover!$E$40</definedName>
    <definedName name="Phone">Cover!$E$41</definedName>
    <definedName name="PrimaryContact">Cover!$E$39</definedName>
    <definedName name="_xlnm.Print_Area" localSheetId="1">Cover!$B$4:$G$338</definedName>
    <definedName name="Quote">Cover!$D$16</definedName>
    <definedName name="QuoteNumber">Start!$I$13</definedName>
    <definedName name="Salesman">Cover!$D$11</definedName>
    <definedName name="Topic">Start!$E$10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96" i="8" l="1"/>
  <c r="E295" i="8"/>
  <c r="E294" i="8"/>
  <c r="H107" i="8" l="1"/>
  <c r="H106" i="8"/>
  <c r="H105" i="8"/>
  <c r="H104" i="8"/>
  <c r="H103" i="8"/>
  <c r="H102" i="8"/>
  <c r="H101" i="8"/>
  <c r="H226" i="8"/>
  <c r="H225" i="8"/>
  <c r="H224" i="8"/>
  <c r="H223" i="8"/>
  <c r="H222" i="8"/>
  <c r="H221" i="8"/>
  <c r="H220" i="8"/>
  <c r="H219" i="8"/>
  <c r="H189" i="8"/>
  <c r="H188" i="8"/>
  <c r="H187" i="8"/>
  <c r="H186" i="8"/>
  <c r="H185" i="8"/>
  <c r="H114" i="8"/>
  <c r="H113" i="8"/>
  <c r="H112" i="8"/>
  <c r="H111" i="8"/>
  <c r="H110" i="8"/>
  <c r="H109" i="8"/>
  <c r="C293" i="8"/>
  <c r="C292" i="8"/>
  <c r="C291" i="8"/>
  <c r="C290" i="8"/>
  <c r="H253" i="8"/>
  <c r="D281" i="8"/>
  <c r="D297" i="8" s="1"/>
  <c r="D280" i="8"/>
  <c r="D296" i="8" s="1"/>
  <c r="D279" i="8"/>
  <c r="D295" i="8" s="1"/>
  <c r="D278" i="8"/>
  <c r="D294" i="8" s="1"/>
  <c r="D277" i="8"/>
  <c r="D293" i="8" s="1"/>
  <c r="D276" i="8"/>
  <c r="D292" i="8" s="1"/>
  <c r="D275" i="8"/>
  <c r="D291" i="8" s="1"/>
  <c r="C281" i="8"/>
  <c r="C297" i="8" s="1"/>
  <c r="C280" i="8"/>
  <c r="C296" i="8" s="1"/>
  <c r="C279" i="8"/>
  <c r="C295" i="8" s="1"/>
  <c r="C278" i="8"/>
  <c r="C294" i="8" s="1"/>
  <c r="D274" i="8"/>
  <c r="D290" i="8" s="1"/>
  <c r="H195" i="8" l="1"/>
  <c r="H194" i="8"/>
  <c r="H193" i="8"/>
  <c r="H192" i="8"/>
  <c r="H191" i="8"/>
  <c r="H190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08" i="8"/>
  <c r="H100" i="8"/>
  <c r="H269" i="8" l="1"/>
  <c r="H268" i="8"/>
  <c r="H267" i="8"/>
  <c r="H266" i="8"/>
  <c r="H265" i="8"/>
  <c r="H255" i="8"/>
  <c r="H254" i="8"/>
  <c r="H280" i="8" s="1"/>
  <c r="H279" i="8"/>
  <c r="H252" i="8"/>
  <c r="H278" i="8" s="1"/>
  <c r="H236" i="8"/>
  <c r="H235" i="8"/>
  <c r="H234" i="8"/>
  <c r="H233" i="8"/>
  <c r="H232" i="8"/>
  <c r="H231" i="8"/>
  <c r="H230" i="8"/>
  <c r="H229" i="8"/>
  <c r="H228" i="8"/>
  <c r="H227" i="8"/>
  <c r="H218" i="8"/>
  <c r="H217" i="8"/>
  <c r="H203" i="8"/>
  <c r="H202" i="8"/>
  <c r="H201" i="8"/>
  <c r="H200" i="8"/>
  <c r="H199" i="8"/>
  <c r="H198" i="8"/>
  <c r="H197" i="8"/>
  <c r="H196" i="8"/>
  <c r="H184" i="8"/>
  <c r="H183" i="8"/>
  <c r="H182" i="8"/>
  <c r="H181" i="8"/>
  <c r="H166" i="8"/>
  <c r="H165" i="8"/>
  <c r="H164" i="8"/>
  <c r="H163" i="8"/>
  <c r="H162" i="8"/>
  <c r="H161" i="8"/>
  <c r="H160" i="8"/>
  <c r="H159" i="8"/>
  <c r="H158" i="8"/>
  <c r="H145" i="8"/>
  <c r="H144" i="8"/>
  <c r="H143" i="8"/>
  <c r="H256" i="8" l="1"/>
  <c r="H259" i="8" s="1"/>
  <c r="H260" i="8" s="1"/>
  <c r="G264" i="8" s="1"/>
  <c r="H205" i="8"/>
  <c r="H168" i="8"/>
  <c r="H238" i="8"/>
  <c r="H99" i="8"/>
  <c r="E291" i="8" l="1"/>
  <c r="H173" i="8"/>
  <c r="H175" i="8" s="1"/>
  <c r="E292" i="8"/>
  <c r="H210" i="8"/>
  <c r="H212" i="8" s="1"/>
  <c r="H243" i="8"/>
  <c r="H245" i="8"/>
  <c r="E277" i="8"/>
  <c r="E293" i="8"/>
  <c r="E276" i="8"/>
  <c r="E275" i="8"/>
  <c r="H264" i="8"/>
  <c r="H281" i="8"/>
  <c r="H131" i="8"/>
  <c r="E297" i="8" s="1"/>
  <c r="E290" i="8" l="1"/>
  <c r="H138" i="8"/>
  <c r="E274" i="8"/>
  <c r="F274" i="8" s="1"/>
  <c r="E284" i="8"/>
  <c r="F277" i="8" l="1"/>
  <c r="G277" i="8" s="1"/>
  <c r="H277" i="8" s="1"/>
  <c r="F275" i="8"/>
  <c r="G275" i="8" s="1"/>
  <c r="H275" i="8" s="1"/>
  <c r="F276" i="8"/>
  <c r="G276" i="8" s="1"/>
  <c r="H276" i="8" s="1"/>
  <c r="G274" i="8"/>
  <c r="H274" i="8" s="1"/>
  <c r="E299" i="8" s="1"/>
  <c r="Q31" i="8"/>
  <c r="H283" i="8" l="1"/>
  <c r="T31" i="8" l="1"/>
  <c r="N31" i="8" l="1"/>
  <c r="T32" i="8" l="1"/>
  <c r="T33" i="8" l="1"/>
  <c r="R32" i="8" l="1"/>
  <c r="O32" i="8"/>
  <c r="R33" i="8" l="1"/>
  <c r="E50" i="8" l="1"/>
  <c r="D49" i="8" l="1"/>
  <c r="Q34" i="8" l="1"/>
  <c r="U34" i="8" s="1"/>
  <c r="N32" i="8" l="1"/>
  <c r="N33" i="8" s="1"/>
  <c r="M32" i="8" l="1"/>
  <c r="M31" i="8"/>
  <c r="U31" i="8"/>
  <c r="V31" i="8" s="1"/>
  <c r="M33" i="8" l="1"/>
  <c r="Q32" i="8"/>
  <c r="U32" i="8" s="1"/>
  <c r="V32" i="8" s="1"/>
  <c r="P32" i="8" l="1"/>
  <c r="P33" i="8" s="1"/>
  <c r="O31" i="8"/>
  <c r="Q33" i="8"/>
  <c r="U33" i="8" s="1"/>
  <c r="V33" i="8" s="1"/>
  <c r="S32" i="8" l="1"/>
  <c r="O33" i="8"/>
  <c r="S31" i="8" l="1"/>
  <c r="S33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Trent Munro</author>
  </authors>
  <commentList>
    <comment ref="D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For example: 
</t>
        </r>
        <r>
          <rPr>
            <sz val="9"/>
            <color indexed="81"/>
            <rFont val="Tahoma"/>
            <family val="2"/>
          </rPr>
          <t>Propac, Ulma, Emrich, ADM, etc.</t>
        </r>
      </text>
    </comment>
    <comment ref="D18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Requirements:</t>
        </r>
        <r>
          <rPr>
            <sz val="8"/>
            <color indexed="81"/>
            <rFont val="Tahoma"/>
            <family val="2"/>
          </rPr>
          <t xml:space="preserve">
Please enter who provided special approval if required</t>
        </r>
      </text>
    </comment>
  </commentList>
</comments>
</file>

<file path=xl/sharedStrings.xml><?xml version="1.0" encoding="utf-8"?>
<sst xmlns="http://schemas.openxmlformats.org/spreadsheetml/2006/main" count="222" uniqueCount="147">
  <si>
    <t>Quantity</t>
  </si>
  <si>
    <t>David Alexander</t>
  </si>
  <si>
    <t>Date</t>
  </si>
  <si>
    <t>Matthews #</t>
  </si>
  <si>
    <t>Supplier #</t>
  </si>
  <si>
    <t>Price</t>
  </si>
  <si>
    <t>Discount</t>
  </si>
  <si>
    <t>Matthew Nichol</t>
  </si>
  <si>
    <t>Randall Collins</t>
  </si>
  <si>
    <t>Warren Hutt</t>
  </si>
  <si>
    <t>Capital Equipment Order Review Checklist</t>
  </si>
  <si>
    <t xml:space="preserve"> </t>
  </si>
  <si>
    <t>Company Name</t>
  </si>
  <si>
    <t>Customer Details</t>
  </si>
  <si>
    <t>IDS Solution</t>
  </si>
  <si>
    <t>Customer Account on Nexus?</t>
  </si>
  <si>
    <t>Title</t>
  </si>
  <si>
    <t>No Selection</t>
  </si>
  <si>
    <t>Yes</t>
  </si>
  <si>
    <t>No</t>
  </si>
  <si>
    <t>IDS Review (In Progress)</t>
  </si>
  <si>
    <t>Waiting on Information from Rep/Customer</t>
  </si>
  <si>
    <t>IDS Spec'ing in Proposal</t>
  </si>
  <si>
    <t>Proposal/Pricing Sent - IDS &amp; Rep following up with Customer</t>
  </si>
  <si>
    <t>Spec'ing in for Order Placement</t>
  </si>
  <si>
    <t>N/a</t>
  </si>
  <si>
    <t>Select which Product</t>
  </si>
  <si>
    <t>Install</t>
  </si>
  <si>
    <t>Trent Munro</t>
  </si>
  <si>
    <t>Final Price</t>
  </si>
  <si>
    <t>Consumables Forecast</t>
  </si>
  <si>
    <t>Capital Handover Information</t>
  </si>
  <si>
    <t>CHOP Completed</t>
  </si>
  <si>
    <t>Comments / Clarifications / Important Notes / Verbal Commitments</t>
  </si>
  <si>
    <t>PO Number</t>
  </si>
  <si>
    <t>Quote Number</t>
  </si>
  <si>
    <t>Representative</t>
  </si>
  <si>
    <t>Delivery Date Req'd</t>
  </si>
  <si>
    <t>Dispatch Address</t>
  </si>
  <si>
    <t>Email</t>
  </si>
  <si>
    <t>CPM Requried</t>
  </si>
  <si>
    <t>CPM Completed</t>
  </si>
  <si>
    <t>CPM Costing</t>
  </si>
  <si>
    <t>IDS Solution Price</t>
  </si>
  <si>
    <t>Authorisation</t>
  </si>
  <si>
    <t>CTO Serial Numbers</t>
  </si>
  <si>
    <t>Est. Ribbon Usage pa.</t>
  </si>
  <si>
    <t>Customer Type</t>
  </si>
  <si>
    <t>Campaign</t>
  </si>
  <si>
    <t>List</t>
  </si>
  <si>
    <t>Tier</t>
  </si>
  <si>
    <t>Not Relevent</t>
  </si>
  <si>
    <t>Extra Charge</t>
  </si>
  <si>
    <t>QC</t>
  </si>
  <si>
    <t>Atilla Motyan</t>
  </si>
  <si>
    <t>Project Fee</t>
  </si>
  <si>
    <t>Project fee</t>
  </si>
  <si>
    <t>Phone Number</t>
  </si>
  <si>
    <t>Site Contact  - Name</t>
  </si>
  <si>
    <t>Accounts Payable Person - Name</t>
  </si>
  <si>
    <t>Example Answers</t>
  </si>
  <si>
    <t>Customer Purchase Date:</t>
  </si>
  <si>
    <t>Current Matthews Model Quoted:</t>
  </si>
  <si>
    <t>CJ400e</t>
  </si>
  <si>
    <t>Current Quoted Price &amp; Discount:</t>
  </si>
  <si>
    <t>$</t>
  </si>
  <si>
    <t>%</t>
  </si>
  <si>
    <t>$13,500 (12% discount)</t>
  </si>
  <si>
    <t>Price Required (to secure the business):</t>
  </si>
  <si>
    <t>Competitor Name:</t>
  </si>
  <si>
    <t>Tronics</t>
  </si>
  <si>
    <t>Competitor Model:</t>
  </si>
  <si>
    <t>Competitor Total Installed Price:</t>
  </si>
  <si>
    <t>$12,000 (what does this include).</t>
  </si>
  <si>
    <t>Customer Future Potential:</t>
  </si>
  <si>
    <t>2 more CIJ required in next 3 months.</t>
  </si>
  <si>
    <t>Competitors Warranty Offering</t>
  </si>
  <si>
    <t>12 months onsite / back to base?</t>
  </si>
  <si>
    <t>Arguments Already Used With The Customer</t>
  </si>
  <si>
    <t>COO (we are 500 cheaper pa etc.)</t>
  </si>
  <si>
    <t>Welcome Pack Sent</t>
  </si>
  <si>
    <t>Project Engineer</t>
  </si>
  <si>
    <t>Nathan Elliot</t>
  </si>
  <si>
    <t>Mark Dingley</t>
  </si>
  <si>
    <t>Mark Bucknall</t>
  </si>
  <si>
    <t>Andrew Ball</t>
  </si>
  <si>
    <t>Braydon Cocks</t>
  </si>
  <si>
    <t>3M Microbiology | WH100813.01 | CIJ - Continuous Ink Jet</t>
  </si>
  <si>
    <t xml:space="preserve"> Quote Number:</t>
  </si>
  <si>
    <t>WH100813.01</t>
  </si>
  <si>
    <t>OEM Name</t>
  </si>
  <si>
    <t>Territory 1</t>
  </si>
  <si>
    <t>Territory 2</t>
  </si>
  <si>
    <t>% Split</t>
  </si>
  <si>
    <t>Existing PMP onsite</t>
  </si>
  <si>
    <t>Wesley Knox</t>
  </si>
  <si>
    <t>CWD</t>
  </si>
  <si>
    <t>TBA</t>
  </si>
  <si>
    <t>na</t>
  </si>
  <si>
    <t>Misc Bill of Materials</t>
  </si>
  <si>
    <t>Assembly 1</t>
  </si>
  <si>
    <t>Product Description</t>
  </si>
  <si>
    <t>Total</t>
  </si>
  <si>
    <t>Assembly Number</t>
  </si>
  <si>
    <t>Assembly 2</t>
  </si>
  <si>
    <t>Assembly 3</t>
  </si>
  <si>
    <t>Assembly 4</t>
  </si>
  <si>
    <t>Integration Allowances</t>
  </si>
  <si>
    <t>Travel &amp; Accomodation</t>
  </si>
  <si>
    <t>Installation, Training Commissioning</t>
  </si>
  <si>
    <t>Project Management</t>
  </si>
  <si>
    <t>Subtotal</t>
  </si>
  <si>
    <t>Final Price (customer PO)</t>
  </si>
  <si>
    <t>Assembly Numbers</t>
  </si>
  <si>
    <t>Group</t>
  </si>
  <si>
    <t>Final Adjusted</t>
  </si>
  <si>
    <t>Allc</t>
  </si>
  <si>
    <t>Allc%</t>
  </si>
  <si>
    <t>Unadjusted Amount</t>
  </si>
  <si>
    <t>Calculated Final</t>
  </si>
  <si>
    <t>Financial Summary</t>
  </si>
  <si>
    <t>Type Information Below</t>
  </si>
  <si>
    <t xml:space="preserve">Assembly Vision  </t>
  </si>
  <si>
    <t xml:space="preserve">Assembly Laser </t>
  </si>
  <si>
    <t>09030001</t>
  </si>
  <si>
    <t xml:space="preserve">Assembly Number's Reference </t>
  </si>
  <si>
    <t>SubTotal</t>
  </si>
  <si>
    <t>Assembly 1 Total</t>
  </si>
  <si>
    <t>Assembly 2 Total</t>
  </si>
  <si>
    <t>Assembly 3 Total</t>
  </si>
  <si>
    <t>Assembly 4 Total</t>
  </si>
  <si>
    <t>ERP Code</t>
  </si>
  <si>
    <t xml:space="preserve">NuPure </t>
  </si>
  <si>
    <t>09010032 (config 0001)</t>
  </si>
  <si>
    <t>Chiller Hyfra eChilly 2s</t>
  </si>
  <si>
    <t xml:space="preserve">Extraction Unit Oracle  </t>
  </si>
  <si>
    <t>09020063</t>
  </si>
  <si>
    <t>09020023</t>
  </si>
  <si>
    <t xml:space="preserve">eSolarMark + 45w HD HP Co2 Laser </t>
  </si>
  <si>
    <t xml:space="preserve">Sensor </t>
  </si>
  <si>
    <t xml:space="preserve">Installation </t>
  </si>
  <si>
    <t xml:space="preserve">Encoder </t>
  </si>
  <si>
    <t xml:space="preserve">Encoder Cable </t>
  </si>
  <si>
    <t xml:space="preserve">Sensor cable </t>
  </si>
  <si>
    <t xml:space="preserve">Laser guarding and mounting </t>
  </si>
  <si>
    <t xml:space="preserve">1. Laser 45w HD marking unit only. Special pricing proivided by Solaris
2. Chiller purchased from Solaris. Special pricing provided. 
3. PE … Do we need a "U" sensor from SICK with adjustment up and down to retect the cap? 
4. Encoder. Is this shaft mounted? Hollow shaft to integrate with Krones conveyor? </t>
  </si>
  <si>
    <t>V00378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</si>
</sst>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_-;\-&quot;$&quot;* #,##0_-;_-&quot;$&quot;* &quot;-&quot;??_-;_-@_-"/>
    <numFmt numFmtId="167" formatCode="_-&quot;$&quot;* #,##0.000_-;\-&quot;$&quot;* #,##0.000_-;_-&quot;$&quot;* &quot;-&quot;???_-;_-@_-"/>
  </numFmts>
  <fonts count="2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20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i/>
      <sz val="9"/>
      <color rgb="FFFF0000"/>
      <name val="Arial"/>
      <family val="2"/>
    </font>
    <font>
      <b/>
      <i/>
      <u/>
      <sz val="11"/>
      <color rgb="FFFF0000"/>
      <name val="Arial"/>
      <family val="2"/>
    </font>
    <font>
      <b/>
      <sz val="14"/>
      <color theme="3" tint="0.59999389629810485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4" tint="0.39997558519241921"/>
      <name val="Arial"/>
      <family val="2"/>
    </font>
    <font>
      <b/>
      <sz val="10"/>
      <color theme="5" tint="-0.249977111117893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4" tint="0.3999755851924192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rgb="FFC00000"/>
      <name val="Arial"/>
      <family val="2"/>
    </font>
    <font>
      <b/>
      <sz val="1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9" fillId="0" borderId="0"/>
    <xf numFmtId="0" fontId="1" fillId="0" borderId="0"/>
    <xf numFmtId="9" fontId="1" fillId="0" borderId="0" applyFont="0" applyFill="0" applyBorder="0" applyAlignment="0" applyProtection="0"/>
  </cellStyleXfs>
  <cellXfs count="19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7" xfId="0" applyBorder="1"/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/>
    <xf numFmtId="0" fontId="3" fillId="0" borderId="0" xfId="0" applyFont="1" applyBorder="1" applyAlignment="1">
      <alignment horizontal="right"/>
    </xf>
    <xf numFmtId="0" fontId="2" fillId="4" borderId="0" xfId="0" applyFont="1" applyFill="1"/>
    <xf numFmtId="49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0" fillId="3" borderId="0" xfId="0" applyFill="1" applyBorder="1"/>
    <xf numFmtId="0" fontId="7" fillId="3" borderId="0" xfId="0" applyFont="1" applyFill="1" applyBorder="1" applyAlignment="1">
      <alignment horizontal="center"/>
    </xf>
    <xf numFmtId="14" fontId="2" fillId="4" borderId="0" xfId="0" applyNumberFormat="1" applyFont="1" applyFill="1"/>
    <xf numFmtId="0" fontId="2" fillId="3" borderId="0" xfId="0" applyFont="1" applyFill="1" applyAlignment="1">
      <alignment horizontal="left" indent="2"/>
    </xf>
    <xf numFmtId="0" fontId="2" fillId="4" borderId="0" xfId="0" applyFont="1" applyFill="1" applyProtection="1">
      <protection locked="0"/>
    </xf>
    <xf numFmtId="49" fontId="2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6" xfId="0" applyBorder="1" applyProtection="1">
      <protection locked="0"/>
    </xf>
    <xf numFmtId="0" fontId="1" fillId="2" borderId="0" xfId="0" applyFont="1" applyFill="1"/>
    <xf numFmtId="0" fontId="1" fillId="0" borderId="1" xfId="0" applyFont="1" applyBorder="1" applyProtection="1">
      <protection locked="0"/>
    </xf>
    <xf numFmtId="0" fontId="4" fillId="4" borderId="7" xfId="0" applyFont="1" applyFill="1" applyBorder="1" applyProtection="1">
      <protection locked="0"/>
    </xf>
    <xf numFmtId="0" fontId="2" fillId="4" borderId="7" xfId="0" applyFont="1" applyFill="1" applyBorder="1" applyProtection="1">
      <protection locked="0"/>
    </xf>
    <xf numFmtId="0" fontId="10" fillId="6" borderId="21" xfId="0" applyFont="1" applyFill="1" applyBorder="1" applyAlignment="1" applyProtection="1">
      <alignment vertical="top" wrapText="1"/>
      <protection locked="0"/>
    </xf>
    <xf numFmtId="0" fontId="2" fillId="6" borderId="1" xfId="0" applyFont="1" applyFill="1" applyBorder="1" applyAlignment="1" applyProtection="1">
      <alignment horizontal="left" vertical="center"/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3" borderId="0" xfId="0" applyFill="1" applyProtection="1"/>
    <xf numFmtId="0" fontId="6" fillId="2" borderId="0" xfId="0" applyFont="1" applyFill="1"/>
    <xf numFmtId="0" fontId="9" fillId="4" borderId="0" xfId="0" applyFont="1" applyFill="1" applyProtection="1">
      <protection locked="0"/>
    </xf>
    <xf numFmtId="0" fontId="1" fillId="0" borderId="1" xfId="0" applyFont="1" applyBorder="1" applyAlignment="1" applyProtection="1">
      <alignment horizontal="left"/>
      <protection locked="0"/>
    </xf>
    <xf numFmtId="49" fontId="2" fillId="8" borderId="1" xfId="0" applyNumberFormat="1" applyFont="1" applyFill="1" applyBorder="1" applyAlignment="1" applyProtection="1">
      <alignment horizontal="left" vertical="center" wrapText="1"/>
      <protection locked="0"/>
    </xf>
    <xf numFmtId="0" fontId="2" fillId="8" borderId="21" xfId="0" applyFont="1" applyFill="1" applyBorder="1" applyAlignment="1" applyProtection="1">
      <alignment horizontal="left" vertical="center"/>
      <protection locked="0"/>
    </xf>
    <xf numFmtId="0" fontId="2" fillId="8" borderId="1" xfId="0" applyFont="1" applyFill="1" applyBorder="1" applyAlignment="1" applyProtection="1">
      <alignment horizontal="left" vertical="center"/>
      <protection locked="0"/>
    </xf>
    <xf numFmtId="0" fontId="12" fillId="8" borderId="21" xfId="0" applyFont="1" applyFill="1" applyBorder="1" applyAlignment="1" applyProtection="1">
      <alignment horizontal="left" vertical="top"/>
    </xf>
    <xf numFmtId="0" fontId="2" fillId="8" borderId="15" xfId="0" applyFont="1" applyFill="1" applyBorder="1" applyAlignment="1" applyProtection="1">
      <alignment horizontal="left" vertical="top"/>
    </xf>
    <xf numFmtId="0" fontId="13" fillId="4" borderId="0" xfId="0" applyFont="1" applyFill="1" applyAlignment="1" applyProtection="1">
      <alignment horizontal="center"/>
    </xf>
    <xf numFmtId="0" fontId="8" fillId="7" borderId="1" xfId="0" applyFont="1" applyFill="1" applyBorder="1" applyAlignment="1" applyProtection="1">
      <alignment horizontal="center" vertical="center" wrapText="1"/>
      <protection locked="0"/>
    </xf>
    <xf numFmtId="0" fontId="17" fillId="2" borderId="0" xfId="0" applyFont="1" applyFill="1"/>
    <xf numFmtId="0" fontId="1" fillId="7" borderId="0" xfId="0" applyFont="1" applyFill="1" applyAlignment="1" applyProtection="1">
      <alignment horizontal="center"/>
      <protection locked="0"/>
    </xf>
    <xf numFmtId="0" fontId="10" fillId="8" borderId="1" xfId="0" applyFont="1" applyFill="1" applyBorder="1" applyAlignment="1" applyProtection="1">
      <protection locked="0"/>
    </xf>
    <xf numFmtId="0" fontId="0" fillId="5" borderId="0" xfId="0" applyFill="1" applyProtection="1"/>
    <xf numFmtId="0" fontId="2" fillId="3" borderId="0" xfId="0" applyFont="1" applyFill="1" applyProtection="1"/>
    <xf numFmtId="0" fontId="18" fillId="3" borderId="0" xfId="0" applyFont="1" applyFill="1" applyAlignment="1" applyProtection="1">
      <alignment horizontal="center"/>
    </xf>
    <xf numFmtId="0" fontId="2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7" borderId="0" xfId="0" applyFill="1" applyProtection="1">
      <protection locked="0"/>
    </xf>
    <xf numFmtId="14" fontId="5" fillId="3" borderId="0" xfId="0" applyNumberFormat="1" applyFont="1" applyFill="1" applyAlignment="1" applyProtection="1">
      <alignment horizontal="left"/>
    </xf>
    <xf numFmtId="14" fontId="5" fillId="3" borderId="0" xfId="0" applyNumberFormat="1" applyFont="1" applyFill="1" applyAlignment="1" applyProtection="1">
      <alignment horizontal="center"/>
    </xf>
    <xf numFmtId="0" fontId="5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center"/>
    </xf>
    <xf numFmtId="0" fontId="1" fillId="7" borderId="0" xfId="0" applyFont="1" applyFill="1" applyProtection="1">
      <protection locked="0"/>
    </xf>
    <xf numFmtId="164" fontId="5" fillId="3" borderId="0" xfId="0" applyNumberFormat="1" applyFont="1" applyFill="1" applyAlignment="1" applyProtection="1">
      <alignment horizontal="left"/>
    </xf>
    <xf numFmtId="164" fontId="5" fillId="3" borderId="0" xfId="0" applyNumberFormat="1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10" fillId="8" borderId="21" xfId="0" applyFont="1" applyFill="1" applyBorder="1" applyAlignment="1" applyProtection="1">
      <alignment horizontal="left" vertical="top"/>
      <protection locked="0"/>
    </xf>
    <xf numFmtId="0" fontId="10" fillId="8" borderId="20" xfId="0" applyFont="1" applyFill="1" applyBorder="1" applyAlignment="1" applyProtection="1">
      <alignment horizontal="left" vertical="top"/>
      <protection locked="0"/>
    </xf>
    <xf numFmtId="0" fontId="10" fillId="8" borderId="15" xfId="0" applyFont="1" applyFill="1" applyBorder="1" applyAlignment="1" applyProtection="1">
      <alignment horizontal="left" vertical="top"/>
      <protection locked="0"/>
    </xf>
    <xf numFmtId="0" fontId="1" fillId="0" borderId="0" xfId="0" applyFont="1" applyAlignment="1">
      <alignment horizontal="center"/>
    </xf>
    <xf numFmtId="0" fontId="5" fillId="7" borderId="1" xfId="0" applyFont="1" applyFill="1" applyBorder="1" applyAlignment="1" applyProtection="1">
      <alignment vertical="center"/>
      <protection locked="0"/>
    </xf>
    <xf numFmtId="9" fontId="5" fillId="4" borderId="21" xfId="2" applyFont="1" applyFill="1" applyBorder="1" applyAlignment="1" applyProtection="1">
      <alignment horizontal="center" vertical="center"/>
      <protection locked="0"/>
    </xf>
    <xf numFmtId="9" fontId="17" fillId="2" borderId="0" xfId="0" applyNumberFormat="1" applyFont="1" applyFill="1"/>
    <xf numFmtId="0" fontId="17" fillId="2" borderId="0" xfId="0" applyFont="1" applyFill="1" applyAlignment="1">
      <alignment horizontal="center" vertical="center"/>
    </xf>
    <xf numFmtId="166" fontId="17" fillId="2" borderId="0" xfId="1" applyNumberFormat="1" applyFont="1" applyFill="1"/>
    <xf numFmtId="9" fontId="17" fillId="2" borderId="0" xfId="0" applyNumberFormat="1" applyFont="1" applyFill="1" applyAlignment="1">
      <alignment horizontal="center"/>
    </xf>
    <xf numFmtId="14" fontId="17" fillId="2" borderId="0" xfId="0" applyNumberFormat="1" applyFont="1" applyFill="1" applyAlignment="1">
      <alignment horizontal="center"/>
    </xf>
    <xf numFmtId="166" fontId="17" fillId="2" borderId="0" xfId="0" applyNumberFormat="1" applyFont="1" applyFill="1"/>
    <xf numFmtId="165" fontId="17" fillId="2" borderId="0" xfId="0" applyNumberFormat="1" applyFont="1" applyFill="1"/>
    <xf numFmtId="0" fontId="17" fillId="2" borderId="0" xfId="0" applyFont="1" applyFill="1" applyAlignment="1">
      <alignment horizontal="center"/>
    </xf>
    <xf numFmtId="0" fontId="17" fillId="2" borderId="0" xfId="0" applyNumberFormat="1" applyFont="1" applyFill="1" applyAlignment="1">
      <alignment horizontal="center"/>
    </xf>
    <xf numFmtId="0" fontId="24" fillId="2" borderId="0" xfId="0" applyFont="1" applyFill="1"/>
    <xf numFmtId="0" fontId="1" fillId="4" borderId="0" xfId="0" applyFont="1" applyFill="1" applyBorder="1" applyAlignment="1" applyProtection="1">
      <alignment horizontal="left" vertical="top" wrapText="1"/>
      <protection locked="0"/>
    </xf>
    <xf numFmtId="0" fontId="1" fillId="4" borderId="19" xfId="0" applyFont="1" applyFill="1" applyBorder="1" applyAlignment="1" applyProtection="1">
      <alignment horizontal="left" vertical="top" wrapText="1"/>
      <protection locked="0"/>
    </xf>
    <xf numFmtId="0" fontId="1" fillId="4" borderId="0" xfId="0" applyFont="1" applyFill="1" applyBorder="1" applyAlignment="1" applyProtection="1">
      <alignment horizontal="left" vertical="top" wrapText="1"/>
      <protection locked="0"/>
    </xf>
    <xf numFmtId="0" fontId="1" fillId="4" borderId="19" xfId="0" applyFont="1" applyFill="1" applyBorder="1" applyAlignment="1" applyProtection="1">
      <alignment horizontal="left" vertical="top" wrapText="1"/>
      <protection locked="0"/>
    </xf>
    <xf numFmtId="0" fontId="1" fillId="7" borderId="0" xfId="0" applyFont="1" applyFill="1" applyBorder="1" applyAlignment="1" applyProtection="1">
      <alignment horizontal="left" vertical="top" wrapText="1"/>
      <protection locked="0"/>
    </xf>
    <xf numFmtId="0" fontId="2" fillId="4" borderId="29" xfId="0" applyFont="1" applyFill="1" applyBorder="1" applyAlignment="1" applyProtection="1">
      <alignment horizontal="left" vertical="top" wrapText="1"/>
      <protection locked="0"/>
    </xf>
    <xf numFmtId="0" fontId="2" fillId="0" borderId="29" xfId="0" applyFont="1" applyBorder="1"/>
    <xf numFmtId="166" fontId="23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25" fillId="4" borderId="16" xfId="0" applyFont="1" applyFill="1" applyBorder="1" applyAlignment="1" applyProtection="1">
      <alignment horizontal="left" vertical="center" wrapText="1"/>
      <protection locked="0"/>
    </xf>
    <xf numFmtId="0" fontId="25" fillId="4" borderId="16" xfId="0" applyFont="1" applyFill="1" applyBorder="1" applyAlignment="1" applyProtection="1">
      <alignment horizontal="center" vertical="center" wrapText="1"/>
      <protection locked="0"/>
    </xf>
    <xf numFmtId="0" fontId="2" fillId="4" borderId="7" xfId="0" applyFont="1" applyFill="1" applyBorder="1" applyAlignment="1" applyProtection="1">
      <alignment horizontal="left" vertical="top" wrapText="1"/>
      <protection locked="0"/>
    </xf>
    <xf numFmtId="0" fontId="1" fillId="4" borderId="7" xfId="0" applyFont="1" applyFill="1" applyBorder="1" applyAlignment="1" applyProtection="1">
      <alignment horizontal="left" vertical="top" wrapText="1"/>
      <protection locked="0"/>
    </xf>
    <xf numFmtId="0" fontId="4" fillId="4" borderId="19" xfId="0" applyFont="1" applyFill="1" applyBorder="1" applyAlignment="1" applyProtection="1">
      <alignment horizontal="left" vertical="top" wrapText="1"/>
      <protection locked="0"/>
    </xf>
    <xf numFmtId="0" fontId="0" fillId="0" borderId="19" xfId="0" applyBorder="1"/>
    <xf numFmtId="0" fontId="23" fillId="7" borderId="1" xfId="0" applyFont="1" applyFill="1" applyBorder="1" applyAlignment="1" applyProtection="1">
      <alignment horizontal="left" vertical="center" wrapText="1"/>
      <protection locked="0"/>
    </xf>
    <xf numFmtId="0" fontId="23" fillId="7" borderId="1" xfId="0" applyFont="1" applyFill="1" applyBorder="1" applyAlignment="1" applyProtection="1">
      <alignment horizontal="center" vertical="center" wrapText="1"/>
      <protection locked="0"/>
    </xf>
    <xf numFmtId="0" fontId="23" fillId="7" borderId="1" xfId="0" applyFont="1" applyFill="1" applyBorder="1" applyAlignment="1" applyProtection="1">
      <alignment horizontal="left" vertical="top" wrapText="1"/>
      <protection locked="0"/>
    </xf>
    <xf numFmtId="0" fontId="23" fillId="7" borderId="1" xfId="0" applyFont="1" applyFill="1" applyBorder="1" applyAlignment="1">
      <alignment wrapText="1"/>
    </xf>
    <xf numFmtId="0" fontId="1" fillId="4" borderId="0" xfId="0" applyFont="1" applyFill="1" applyBorder="1" applyAlignment="1" applyProtection="1">
      <alignment horizontal="left" vertical="top" wrapText="1"/>
      <protection locked="0"/>
    </xf>
    <xf numFmtId="0" fontId="1" fillId="4" borderId="19" xfId="0" applyFont="1" applyFill="1" applyBorder="1" applyAlignment="1" applyProtection="1">
      <alignment horizontal="left" vertical="top" wrapText="1"/>
      <protection locked="0"/>
    </xf>
    <xf numFmtId="0" fontId="1" fillId="4" borderId="28" xfId="0" applyFont="1" applyFill="1" applyBorder="1" applyAlignment="1" applyProtection="1">
      <alignment horizontal="left" vertical="top" wrapText="1"/>
      <protection locked="0"/>
    </xf>
    <xf numFmtId="0" fontId="4" fillId="4" borderId="19" xfId="0" applyFont="1" applyFill="1" applyBorder="1" applyAlignment="1" applyProtection="1">
      <alignment horizontal="left" vertical="top"/>
      <protection locked="0"/>
    </xf>
    <xf numFmtId="0" fontId="23" fillId="7" borderId="1" xfId="0" applyFont="1" applyFill="1" applyBorder="1" applyAlignment="1" applyProtection="1">
      <alignment horizontal="center" vertical="top" wrapText="1"/>
      <protection locked="0"/>
    </xf>
    <xf numFmtId="166" fontId="0" fillId="0" borderId="0" xfId="0" applyNumberFormat="1"/>
    <xf numFmtId="0" fontId="2" fillId="4" borderId="29" xfId="0" applyFont="1" applyFill="1" applyBorder="1" applyAlignment="1" applyProtection="1">
      <alignment horizontal="right" vertical="top" wrapText="1"/>
      <protection locked="0"/>
    </xf>
    <xf numFmtId="0" fontId="2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166" fontId="2" fillId="4" borderId="0" xfId="0" applyNumberFormat="1" applyFont="1" applyFill="1" applyBorder="1" applyAlignment="1" applyProtection="1">
      <alignment horizontal="center" vertical="center" wrapText="1"/>
      <protection locked="0"/>
    </xf>
    <xf numFmtId="49" fontId="2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2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6" xfId="0" applyFont="1" applyBorder="1"/>
    <xf numFmtId="49" fontId="2" fillId="4" borderId="10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8" xfId="0" applyNumberFormat="1" applyFont="1" applyFill="1" applyBorder="1" applyAlignment="1" applyProtection="1">
      <alignment horizontal="left" vertical="top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66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9" fontId="1" fillId="4" borderId="1" xfId="2" applyFont="1" applyFill="1" applyBorder="1" applyAlignment="1" applyProtection="1">
      <alignment horizontal="center" vertical="center" wrapText="1"/>
      <protection locked="0"/>
    </xf>
    <xf numFmtId="165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" xfId="0" applyNumberFormat="1" applyFont="1" applyBorder="1"/>
    <xf numFmtId="0" fontId="1" fillId="4" borderId="9" xfId="0" applyNumberFormat="1" applyFont="1" applyFill="1" applyBorder="1" applyAlignment="1" applyProtection="1">
      <alignment horizontal="left" vertical="top" wrapText="1"/>
      <protection locked="0"/>
    </xf>
    <xf numFmtId="0" fontId="1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3" xfId="0" applyNumberFormat="1" applyFont="1" applyBorder="1"/>
    <xf numFmtId="166" fontId="1" fillId="9" borderId="1" xfId="1" applyNumberFormat="1" applyFont="1" applyFill="1" applyBorder="1" applyAlignment="1" applyProtection="1">
      <alignment horizontal="left" vertical="top" wrapText="1"/>
      <protection locked="0"/>
    </xf>
    <xf numFmtId="165" fontId="1" fillId="9" borderId="2" xfId="1" applyFont="1" applyFill="1" applyBorder="1"/>
    <xf numFmtId="165" fontId="1" fillId="9" borderId="1" xfId="1" applyFont="1" applyFill="1" applyBorder="1" applyAlignment="1" applyProtection="1">
      <alignment horizontal="center" vertical="center" wrapText="1"/>
      <protection locked="0"/>
    </xf>
    <xf numFmtId="165" fontId="1" fillId="9" borderId="3" xfId="1" applyFont="1" applyFill="1" applyBorder="1" applyAlignment="1" applyProtection="1">
      <alignment horizontal="center" vertical="center" wrapText="1"/>
      <protection locked="0"/>
    </xf>
    <xf numFmtId="165" fontId="0" fillId="0" borderId="0" xfId="1" applyFont="1"/>
    <xf numFmtId="0" fontId="2" fillId="4" borderId="3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31" xfId="0" applyNumberFormat="1" applyFont="1" applyBorder="1" applyAlignment="1">
      <alignment horizontal="right"/>
    </xf>
    <xf numFmtId="165" fontId="2" fillId="0" borderId="31" xfId="1" applyFont="1" applyBorder="1"/>
    <xf numFmtId="0" fontId="2" fillId="4" borderId="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7" xfId="0" applyNumberFormat="1" applyBorder="1"/>
    <xf numFmtId="49" fontId="2" fillId="4" borderId="7" xfId="0" applyNumberFormat="1" applyFont="1" applyFill="1" applyBorder="1" applyAlignment="1" applyProtection="1">
      <alignment horizontal="right" vertical="top"/>
      <protection locked="0"/>
    </xf>
    <xf numFmtId="0" fontId="22" fillId="4" borderId="7" xfId="0" applyNumberFormat="1" applyFont="1" applyFill="1" applyBorder="1" applyAlignment="1" applyProtection="1">
      <alignment horizontal="left" vertical="top"/>
      <protection locked="0"/>
    </xf>
    <xf numFmtId="49" fontId="18" fillId="4" borderId="13" xfId="0" applyNumberFormat="1" applyFont="1" applyFill="1" applyBorder="1" applyAlignment="1" applyProtection="1">
      <alignment horizontal="center" vertical="center" wrapText="1"/>
      <protection locked="0"/>
    </xf>
    <xf numFmtId="49" fontId="18" fillId="4" borderId="18" xfId="0" applyNumberFormat="1" applyFont="1" applyFill="1" applyBorder="1" applyAlignment="1" applyProtection="1">
      <alignment horizontal="center" vertical="center" wrapText="1"/>
      <protection locked="0"/>
    </xf>
    <xf numFmtId="0" fontId="18" fillId="4" borderId="14" xfId="0" applyNumberFormat="1" applyFont="1" applyFill="1" applyBorder="1" applyAlignment="1" applyProtection="1">
      <alignment horizontal="center" vertical="center" wrapText="1"/>
      <protection locked="0"/>
    </xf>
    <xf numFmtId="0" fontId="23" fillId="7" borderId="1" xfId="0" applyFont="1" applyFill="1" applyBorder="1" applyAlignment="1" applyProtection="1">
      <alignment wrapText="1"/>
      <protection locked="0"/>
    </xf>
    <xf numFmtId="166" fontId="23" fillId="4" borderId="1" xfId="1" applyNumberFormat="1" applyFont="1" applyFill="1" applyBorder="1" applyAlignment="1" applyProtection="1">
      <alignment horizontal="center" vertical="center" wrapText="1"/>
    </xf>
    <xf numFmtId="0" fontId="1" fillId="4" borderId="0" xfId="0" applyFont="1" applyFill="1" applyBorder="1" applyAlignment="1" applyProtection="1">
      <alignment horizontal="left" vertical="top" wrapText="1"/>
    </xf>
    <xf numFmtId="166" fontId="2" fillId="0" borderId="29" xfId="1" applyNumberFormat="1" applyFont="1" applyBorder="1" applyProtection="1"/>
    <xf numFmtId="0" fontId="2" fillId="4" borderId="29" xfId="0" applyFont="1" applyFill="1" applyBorder="1" applyAlignment="1" applyProtection="1">
      <alignment horizontal="right" vertical="top" wrapText="1"/>
    </xf>
    <xf numFmtId="0" fontId="23" fillId="0" borderId="1" xfId="0" applyFont="1" applyFill="1" applyBorder="1" applyAlignment="1" applyProtection="1">
      <alignment horizontal="left" vertical="center" wrapText="1"/>
    </xf>
    <xf numFmtId="0" fontId="23" fillId="0" borderId="1" xfId="0" applyFont="1" applyFill="1" applyBorder="1" applyAlignment="1" applyProtection="1">
      <alignment horizontal="left" vertical="top" wrapText="1"/>
    </xf>
    <xf numFmtId="0" fontId="23" fillId="0" borderId="1" xfId="0" applyFont="1" applyFill="1" applyBorder="1" applyAlignment="1" applyProtection="1">
      <alignment horizontal="left" vertical="center" wrapText="1"/>
      <protection locked="0"/>
    </xf>
    <xf numFmtId="0" fontId="23" fillId="0" borderId="1" xfId="0" applyFont="1" applyFill="1" applyBorder="1" applyAlignment="1" applyProtection="1">
      <alignment horizontal="left" vertical="top" wrapText="1"/>
      <protection locked="0"/>
    </xf>
    <xf numFmtId="0" fontId="26" fillId="0" borderId="0" xfId="0" applyFont="1"/>
    <xf numFmtId="165" fontId="2" fillId="9" borderId="7" xfId="0" applyNumberFormat="1" applyFont="1" applyFill="1" applyBorder="1" applyAlignment="1" applyProtection="1">
      <alignment horizontal="center" vertical="center" wrapText="1"/>
    </xf>
    <xf numFmtId="165" fontId="1" fillId="9" borderId="17" xfId="1" applyFont="1" applyFill="1" applyBorder="1" applyProtection="1"/>
    <xf numFmtId="165" fontId="1" fillId="9" borderId="2" xfId="1" applyFont="1" applyFill="1" applyBorder="1" applyProtection="1"/>
    <xf numFmtId="165" fontId="1" fillId="9" borderId="4" xfId="1" applyFont="1" applyFill="1" applyBorder="1" applyProtection="1"/>
    <xf numFmtId="0" fontId="1" fillId="4" borderId="30" xfId="0" applyNumberFormat="1" applyFont="1" applyFill="1" applyBorder="1" applyAlignment="1" applyProtection="1">
      <alignment horizontal="left" vertical="top" wrapText="1"/>
    </xf>
    <xf numFmtId="0" fontId="1" fillId="4" borderId="16" xfId="0" applyNumberFormat="1" applyFont="1" applyFill="1" applyBorder="1" applyAlignment="1" applyProtection="1">
      <alignment horizontal="left" vertical="top" wrapText="1"/>
    </xf>
    <xf numFmtId="0" fontId="1" fillId="4" borderId="8" xfId="0" applyNumberFormat="1" applyFont="1" applyFill="1" applyBorder="1" applyAlignment="1" applyProtection="1">
      <alignment horizontal="left" vertical="top" wrapText="1"/>
    </xf>
    <xf numFmtId="0" fontId="1" fillId="4" borderId="1" xfId="0" applyNumberFormat="1" applyFont="1" applyFill="1" applyBorder="1" applyAlignment="1" applyProtection="1">
      <alignment horizontal="left" vertical="top" wrapText="1"/>
    </xf>
    <xf numFmtId="0" fontId="1" fillId="4" borderId="9" xfId="0" applyNumberFormat="1" applyFont="1" applyFill="1" applyBorder="1" applyAlignment="1" applyProtection="1">
      <alignment horizontal="left" vertical="top" wrapText="1"/>
    </xf>
    <xf numFmtId="0" fontId="1" fillId="4" borderId="3" xfId="0" applyNumberFormat="1" applyFont="1" applyFill="1" applyBorder="1" applyAlignment="1" applyProtection="1">
      <alignment horizontal="left" vertical="top" wrapText="1"/>
    </xf>
    <xf numFmtId="0" fontId="4" fillId="4" borderId="0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Border="1" applyAlignment="1" applyProtection="1">
      <alignment horizontal="center" vertical="top" wrapText="1"/>
      <protection locked="0"/>
    </xf>
    <xf numFmtId="0" fontId="1" fillId="4" borderId="0" xfId="0" applyFont="1" applyFill="1" applyBorder="1" applyAlignment="1" applyProtection="1">
      <alignment horizontal="left" vertical="top" wrapText="1"/>
      <protection locked="0"/>
    </xf>
    <xf numFmtId="0" fontId="1" fillId="4" borderId="15" xfId="0" applyFont="1" applyFill="1" applyBorder="1" applyAlignment="1" applyProtection="1">
      <alignment horizontal="left" vertical="top" wrapText="1"/>
      <protection locked="0"/>
    </xf>
    <xf numFmtId="0" fontId="23" fillId="4" borderId="21" xfId="0" applyFont="1" applyFill="1" applyBorder="1" applyAlignment="1" applyProtection="1">
      <alignment horizontal="left"/>
      <protection locked="0"/>
    </xf>
    <xf numFmtId="0" fontId="2" fillId="4" borderId="0" xfId="0" applyFont="1" applyFill="1" applyBorder="1" applyAlignment="1" applyProtection="1">
      <alignment horizontal="left" vertical="top" wrapText="1"/>
      <protection locked="0"/>
    </xf>
    <xf numFmtId="0" fontId="23" fillId="4" borderId="0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Border="1"/>
    <xf numFmtId="166" fontId="2" fillId="0" borderId="0" xfId="1" applyNumberFormat="1" applyFont="1" applyBorder="1" applyProtection="1"/>
    <xf numFmtId="167" fontId="1" fillId="4" borderId="0" xfId="0" applyNumberFormat="1" applyFont="1" applyFill="1" applyBorder="1" applyAlignment="1" applyProtection="1">
      <alignment horizontal="left" vertical="top" wrapText="1"/>
      <protection locked="0"/>
    </xf>
    <xf numFmtId="167" fontId="1" fillId="7" borderId="1" xfId="0" applyNumberFormat="1" applyFont="1" applyFill="1" applyBorder="1" applyAlignment="1" applyProtection="1">
      <alignment horizontal="left" vertical="top" wrapText="1"/>
      <protection locked="0"/>
    </xf>
    <xf numFmtId="0" fontId="1" fillId="0" borderId="16" xfId="0" quotePrefix="1" applyFont="1" applyBorder="1" applyProtection="1">
      <protection locked="0"/>
    </xf>
    <xf numFmtId="0" fontId="1" fillId="0" borderId="16" xfId="0" applyFont="1" applyBorder="1" applyProtection="1">
      <protection locked="0"/>
    </xf>
    <xf numFmtId="0" fontId="23" fillId="7" borderId="1" xfId="0" quotePrefix="1" applyFont="1" applyFill="1" applyBorder="1" applyAlignment="1" applyProtection="1">
      <alignment horizontal="left" vertical="center" wrapText="1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1" fillId="9" borderId="12" xfId="0" applyFont="1" applyFill="1" applyBorder="1" applyAlignment="1" applyProtection="1">
      <alignment horizontal="center"/>
      <protection locked="0"/>
    </xf>
    <xf numFmtId="0" fontId="0" fillId="9" borderId="11" xfId="0" applyFill="1" applyBorder="1" applyAlignment="1" applyProtection="1">
      <alignment horizontal="center"/>
      <protection locked="0"/>
    </xf>
    <xf numFmtId="0" fontId="1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4" fontId="1" fillId="4" borderId="21" xfId="0" applyNumberFormat="1" applyFont="1" applyFill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left"/>
      <protection locked="0"/>
    </xf>
    <xf numFmtId="49" fontId="2" fillId="8" borderId="1" xfId="0" applyNumberFormat="1" applyFont="1" applyFill="1" applyBorder="1" applyAlignment="1" applyProtection="1">
      <alignment horizontal="left" vertical="top"/>
      <protection locked="0"/>
    </xf>
    <xf numFmtId="0" fontId="1" fillId="4" borderId="21" xfId="0" applyFont="1" applyFill="1" applyBorder="1" applyAlignment="1" applyProtection="1">
      <alignment horizontal="center" vertical="center"/>
      <protection locked="0"/>
    </xf>
    <xf numFmtId="0" fontId="5" fillId="4" borderId="21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1" fillId="4" borderId="21" xfId="0" applyNumberFormat="1" applyFont="1" applyFill="1" applyBorder="1" applyAlignment="1" applyProtection="1">
      <alignment horizontal="center" vertical="center"/>
      <protection locked="0"/>
    </xf>
    <xf numFmtId="0" fontId="1" fillId="0" borderId="15" xfId="0" applyNumberFormat="1" applyFont="1" applyBorder="1" applyAlignment="1" applyProtection="1">
      <alignment horizontal="center" vertical="center"/>
      <protection locked="0"/>
    </xf>
    <xf numFmtId="0" fontId="5" fillId="4" borderId="15" xfId="0" applyFont="1" applyFill="1" applyBorder="1" applyAlignment="1" applyProtection="1">
      <alignment horizontal="center" vertical="center"/>
      <protection locked="0"/>
    </xf>
    <xf numFmtId="0" fontId="1" fillId="4" borderId="23" xfId="0" applyFont="1" applyFill="1" applyBorder="1" applyAlignment="1" applyProtection="1">
      <alignment horizontal="left" vertical="top" wrapText="1"/>
      <protection locked="0"/>
    </xf>
    <xf numFmtId="0" fontId="1" fillId="4" borderId="22" xfId="0" applyFont="1" applyFill="1" applyBorder="1" applyAlignment="1" applyProtection="1">
      <alignment horizontal="left" vertical="top" wrapText="1"/>
      <protection locked="0"/>
    </xf>
    <xf numFmtId="0" fontId="1" fillId="4" borderId="24" xfId="0" applyFont="1" applyFill="1" applyBorder="1" applyAlignment="1" applyProtection="1">
      <alignment horizontal="left" vertical="top" wrapText="1"/>
      <protection locked="0"/>
    </xf>
    <xf numFmtId="0" fontId="1" fillId="4" borderId="26" xfId="0" applyFont="1" applyFill="1" applyBorder="1" applyAlignment="1" applyProtection="1">
      <alignment horizontal="left" vertical="top" wrapText="1"/>
      <protection locked="0"/>
    </xf>
    <xf numFmtId="0" fontId="1" fillId="4" borderId="0" xfId="0" applyFont="1" applyFill="1" applyBorder="1" applyAlignment="1" applyProtection="1">
      <alignment horizontal="left" vertical="top" wrapText="1"/>
      <protection locked="0"/>
    </xf>
    <xf numFmtId="0" fontId="1" fillId="4" borderId="27" xfId="0" applyFont="1" applyFill="1" applyBorder="1" applyAlignment="1" applyProtection="1">
      <alignment horizontal="left" vertical="top" wrapText="1"/>
      <protection locked="0"/>
    </xf>
    <xf numFmtId="0" fontId="1" fillId="4" borderId="25" xfId="0" applyFont="1" applyFill="1" applyBorder="1" applyAlignment="1" applyProtection="1">
      <alignment horizontal="left" vertical="top" wrapText="1"/>
      <protection locked="0"/>
    </xf>
    <xf numFmtId="0" fontId="1" fillId="4" borderId="19" xfId="0" applyFont="1" applyFill="1" applyBorder="1" applyAlignment="1" applyProtection="1">
      <alignment horizontal="left" vertical="top" wrapText="1"/>
      <protection locked="0"/>
    </xf>
    <xf numFmtId="0" fontId="1" fillId="4" borderId="28" xfId="0" applyFont="1" applyFill="1" applyBorder="1" applyAlignment="1" applyProtection="1">
      <alignment horizontal="left" vertical="top" wrapText="1"/>
      <protection locked="0"/>
    </xf>
    <xf numFmtId="0" fontId="10" fillId="8" borderId="21" xfId="0" applyFont="1" applyFill="1" applyBorder="1" applyAlignment="1" applyProtection="1">
      <alignment wrapText="1"/>
      <protection locked="0"/>
    </xf>
    <xf numFmtId="0" fontId="10" fillId="8" borderId="15" xfId="0" applyFont="1" applyFill="1" applyBorder="1" applyAlignment="1" applyProtection="1">
      <alignment wrapText="1"/>
      <protection locked="0"/>
    </xf>
    <xf numFmtId="0" fontId="2" fillId="8" borderId="21" xfId="0" applyFont="1" applyFill="1" applyBorder="1" applyAlignment="1" applyProtection="1">
      <alignment horizontal="left"/>
      <protection locked="0"/>
    </xf>
    <xf numFmtId="0" fontId="2" fillId="8" borderId="15" xfId="0" applyFont="1" applyFill="1" applyBorder="1" applyAlignment="1" applyProtection="1">
      <alignment horizontal="left"/>
      <protection locked="0"/>
    </xf>
    <xf numFmtId="0" fontId="2" fillId="7" borderId="22" xfId="0" applyFont="1" applyFill="1" applyBorder="1" applyAlignment="1" applyProtection="1">
      <alignment horizontal="left" vertical="top" indent="1"/>
      <protection locked="0"/>
    </xf>
    <xf numFmtId="0" fontId="2" fillId="7" borderId="0" xfId="0" applyFont="1" applyFill="1" applyBorder="1" applyAlignment="1" applyProtection="1">
      <alignment horizontal="left" vertical="top" indent="1"/>
      <protection locked="0"/>
    </xf>
    <xf numFmtId="0" fontId="0" fillId="7" borderId="22" xfId="0" applyFill="1" applyBorder="1" applyAlignment="1" applyProtection="1">
      <alignment horizontal="left" vertical="top" indent="1"/>
      <protection locked="0"/>
    </xf>
    <xf numFmtId="0" fontId="0" fillId="7" borderId="0" xfId="0" applyFill="1" applyBorder="1" applyAlignment="1" applyProtection="1">
      <alignment horizontal="left" vertical="top" indent="1"/>
      <protection locked="0"/>
    </xf>
  </cellXfs>
  <cellStyles count="6">
    <cellStyle name="Currency" xfId="1" builtinId="4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  <cellStyle name="Percent 2" xfId="5" xr:uid="{00000000-0005-0000-0000-000006000000}"/>
  </cellStyles>
  <dxfs count="1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6" tint="0.39994506668294322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390525</xdr:colOff>
      <xdr:row>2</xdr:row>
      <xdr:rowOff>1</xdr:rowOff>
    </xdr:from>
    <xdr:to>
      <xdr:col>14</xdr:col>
      <xdr:colOff>64575</xdr:colOff>
      <xdr:row>16</xdr:row>
      <xdr:rowOff>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315325" y="161926"/>
          <a:ext cx="283650" cy="5029200"/>
        </a:xfrm>
        <a:prstGeom prst="rect">
          <a:avLst/>
        </a:prstGeom>
        <a:solidFill>
          <a:sysClr val="window" lastClr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1</xdr:colOff>
      <xdr:row>15</xdr:row>
      <xdr:rowOff>47625</xdr:rowOff>
    </xdr:from>
    <xdr:to>
      <xdr:col>14</xdr:col>
      <xdr:colOff>66675</xdr:colOff>
      <xdr:row>17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09601" y="5076825"/>
          <a:ext cx="7991474" cy="276225"/>
        </a:xfrm>
        <a:prstGeom prst="rect">
          <a:avLst/>
        </a:prstGeom>
        <a:solidFill>
          <a:sysClr val="window" lastClr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238124</xdr:colOff>
      <xdr:row>2</xdr:row>
      <xdr:rowOff>9525</xdr:rowOff>
    </xdr:from>
    <xdr:to>
      <xdr:col>9</xdr:col>
      <xdr:colOff>16949</xdr:colOff>
      <xdr:row>338</xdr:row>
      <xdr:rowOff>3975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143999" y="333375"/>
          <a:ext cx="36000" cy="11348250"/>
        </a:xfrm>
        <a:prstGeom prst="rect">
          <a:avLst/>
        </a:prstGeom>
        <a:solidFill>
          <a:sysClr val="window" lastClr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38100</xdr:colOff>
      <xdr:row>337</xdr:row>
      <xdr:rowOff>133350</xdr:rowOff>
    </xdr:from>
    <xdr:to>
      <xdr:col>9</xdr:col>
      <xdr:colOff>16650</xdr:colOff>
      <xdr:row>338</xdr:row>
      <xdr:rowOff>19050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flipH="1">
          <a:off x="647700" y="11649075"/>
          <a:ext cx="8532000" cy="47625"/>
        </a:xfrm>
        <a:prstGeom prst="rect">
          <a:avLst/>
        </a:prstGeom>
        <a:solidFill>
          <a:sysClr val="window" lastClr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561975</xdr:colOff>
      <xdr:row>2</xdr:row>
      <xdr:rowOff>0</xdr:rowOff>
    </xdr:from>
    <xdr:to>
      <xdr:col>11</xdr:col>
      <xdr:colOff>236025</xdr:colOff>
      <xdr:row>41</xdr:row>
      <xdr:rowOff>19050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67700" y="323850"/>
          <a:ext cx="283650" cy="7762875"/>
        </a:xfrm>
        <a:prstGeom prst="rect">
          <a:avLst/>
        </a:prstGeom>
        <a:solidFill>
          <a:sysClr val="window" lastClr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9525</xdr:colOff>
      <xdr:row>40</xdr:row>
      <xdr:rowOff>142875</xdr:rowOff>
    </xdr:from>
    <xdr:to>
      <xdr:col>11</xdr:col>
      <xdr:colOff>221400</xdr:colOff>
      <xdr:row>41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flipH="1">
          <a:off x="619125" y="8048625"/>
          <a:ext cx="7917600" cy="47625"/>
        </a:xfrm>
        <a:prstGeom prst="rect">
          <a:avLst/>
        </a:prstGeom>
        <a:solidFill>
          <a:sysClr val="window" lastClr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oneCellAnchor>
    <xdr:from>
      <xdr:col>1</xdr:col>
      <xdr:colOff>133350</xdr:colOff>
      <xdr:row>2</xdr:row>
      <xdr:rowOff>95250</xdr:rowOff>
    </xdr:from>
    <xdr:ext cx="4351576" cy="468013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42950" y="419100"/>
          <a:ext cx="435157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AU" sz="2400" b="1"/>
            <a:t>Special Price Authorisation</a:t>
          </a:r>
          <a:r>
            <a:rPr lang="en-AU" sz="2400" b="1" baseline="0"/>
            <a:t> Form</a:t>
          </a:r>
          <a:endParaRPr lang="en-AU" sz="2400" b="1"/>
        </a:p>
      </xdr:txBody>
    </xdr:sp>
    <xdr:clientData/>
  </xdr:oneCellAnchor>
  <xdr:twoCellAnchor>
    <xdr:from>
      <xdr:col>13</xdr:col>
      <xdr:colOff>2190750</xdr:colOff>
      <xdr:row>5</xdr:row>
      <xdr:rowOff>152400</xdr:rowOff>
    </xdr:from>
    <xdr:to>
      <xdr:col>14</xdr:col>
      <xdr:colOff>245550</xdr:colOff>
      <xdr:row>26</xdr:row>
      <xdr:rowOff>9525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725275" y="962025"/>
          <a:ext cx="283650" cy="4686300"/>
        </a:xfrm>
        <a:prstGeom prst="rect">
          <a:avLst/>
        </a:prstGeom>
        <a:solidFill>
          <a:sysClr val="window" lastClr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13</xdr:col>
      <xdr:colOff>0</xdr:colOff>
      <xdr:row>25</xdr:row>
      <xdr:rowOff>47625</xdr:rowOff>
    </xdr:from>
    <xdr:to>
      <xdr:col>14</xdr:col>
      <xdr:colOff>247950</xdr:colOff>
      <xdr:row>26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flipH="1">
          <a:off x="9534525" y="5619750"/>
          <a:ext cx="2476800" cy="47625"/>
        </a:xfrm>
        <a:prstGeom prst="rect">
          <a:avLst/>
        </a:prstGeom>
        <a:solidFill>
          <a:sysClr val="window" lastClr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B3:N16"/>
  <sheetViews>
    <sheetView showGridLines="0" showRowColHeaders="0" zoomScaleNormal="85" workbookViewId="0">
      <pane ySplit="21" topLeftCell="A22" activePane="bottomLeft" state="frozen"/>
      <selection pane="bottomLeft" activeCell="I13" sqref="I13:J13"/>
    </sheetView>
  </sheetViews>
  <sheetFormatPr defaultColWidth="9.140625" defaultRowHeight="12.75" x14ac:dyDescent="0.2"/>
  <cols>
    <col min="1" max="1" width="8" style="5" customWidth="1"/>
    <col min="2" max="16384" width="9.140625" style="5"/>
  </cols>
  <sheetData>
    <row r="3" spans="2:14" x14ac:dyDescent="0.2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</row>
    <row r="4" spans="2:14" x14ac:dyDescent="0.2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</row>
    <row r="5" spans="2:14" ht="26.25" x14ac:dyDescent="0.4">
      <c r="B5" s="8"/>
      <c r="C5" s="13"/>
      <c r="D5" s="13"/>
      <c r="E5" s="13"/>
      <c r="F5" s="13"/>
      <c r="G5" s="13"/>
      <c r="H5" s="14" t="s">
        <v>99</v>
      </c>
      <c r="I5" s="13"/>
      <c r="J5" s="13"/>
      <c r="K5" s="13"/>
      <c r="L5" s="13"/>
      <c r="M5" s="13"/>
      <c r="N5" s="13"/>
    </row>
    <row r="6" spans="2:14" x14ac:dyDescent="0.2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</row>
    <row r="7" spans="2:14" x14ac:dyDescent="0.2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</row>
    <row r="8" spans="2:14" x14ac:dyDescent="0.2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2:14" x14ac:dyDescent="0.2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0" spans="2:14" x14ac:dyDescent="0.2">
      <c r="B10" s="8"/>
      <c r="C10" s="8"/>
      <c r="D10" s="8"/>
      <c r="E10" s="163" t="s">
        <v>87</v>
      </c>
      <c r="F10" s="163"/>
      <c r="G10" s="163"/>
      <c r="H10" s="163"/>
      <c r="I10" s="163"/>
      <c r="J10" s="163"/>
      <c r="K10" s="163"/>
      <c r="L10" s="8"/>
      <c r="M10" s="8"/>
      <c r="N10" s="8"/>
    </row>
    <row r="11" spans="2:14" x14ac:dyDescent="0.2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</row>
    <row r="12" spans="2:14" ht="13.5" thickBot="1" x14ac:dyDescent="0.25"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</row>
    <row r="13" spans="2:14" ht="13.5" thickBot="1" x14ac:dyDescent="0.25">
      <c r="B13" s="8"/>
      <c r="C13" s="8"/>
      <c r="D13" s="8"/>
      <c r="E13" s="8"/>
      <c r="F13" s="16" t="s">
        <v>88</v>
      </c>
      <c r="G13" s="8"/>
      <c r="H13" s="8"/>
      <c r="I13" s="164" t="s">
        <v>89</v>
      </c>
      <c r="J13" s="165"/>
      <c r="K13" s="8"/>
      <c r="L13" s="8"/>
      <c r="M13" s="8"/>
      <c r="N13" s="8"/>
    </row>
    <row r="14" spans="2:14" x14ac:dyDescent="0.2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</row>
    <row r="15" spans="2:14" x14ac:dyDescent="0.2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</row>
    <row r="16" spans="2:14" x14ac:dyDescent="0.2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</row>
  </sheetData>
  <sheetProtection password="C583" sheet="1" selectLockedCells="1"/>
  <mergeCells count="2">
    <mergeCell ref="E10:K10"/>
    <mergeCell ref="I13:J13"/>
  </mergeCells>
  <conditionalFormatting sqref="E10:K10">
    <cfRule type="cellIs" dxfId="12" priority="2" operator="equal">
      <formula>"3M Microbiology | WH100813.01 | CIJ - Continuous Ink Jet"</formula>
    </cfRule>
  </conditionalFormatting>
  <conditionalFormatting sqref="I13:J13">
    <cfRule type="cellIs" dxfId="11" priority="1" operator="equal">
      <formula>"WH100813.01"</formula>
    </cfRule>
  </conditionalFormatting>
  <pageMargins left="0.7" right="0.7" top="0.75" bottom="0.75" header="0.3" footer="0.3"/>
  <pageSetup paperSize="9" scale="4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5" tint="0.39997558519241921"/>
    <pageSetUpPr fitToPage="1"/>
  </sheetPr>
  <dimension ref="B3:AB477"/>
  <sheetViews>
    <sheetView showGridLines="0" showRowColHeaders="0" tabSelected="1" zoomScaleNormal="100" workbookViewId="0">
      <selection activeCell="C94" sqref="C94"/>
    </sheetView>
  </sheetViews>
  <sheetFormatPr defaultColWidth="9.140625" defaultRowHeight="12.75" x14ac:dyDescent="0.2"/>
  <cols>
    <col min="1" max="1" width="9.140625" style="5" customWidth="1"/>
    <col min="2" max="2" width="9.140625" style="5"/>
    <col min="3" max="3" width="19" style="6" customWidth="1"/>
    <col min="4" max="4" width="15.28515625" style="6" customWidth="1"/>
    <col min="5" max="5" width="36.140625" style="5" customWidth="1"/>
    <col min="6" max="6" width="19.140625" style="7" customWidth="1"/>
    <col min="7" max="7" width="11.140625" style="5" customWidth="1"/>
    <col min="8" max="8" width="11.7109375" style="5" customWidth="1"/>
    <col min="9" max="9" width="3.85546875" style="5" customWidth="1"/>
    <col min="10" max="10" width="9.140625" style="5" customWidth="1"/>
    <col min="11" max="11" width="9.140625" style="29" hidden="1" customWidth="1"/>
    <col min="12" max="12" width="18.7109375" style="29" hidden="1" customWidth="1"/>
    <col min="13" max="15" width="11.42578125" style="29" hidden="1" customWidth="1"/>
    <col min="16" max="16" width="15.28515625" style="29" hidden="1" customWidth="1"/>
    <col min="17" max="17" width="9.85546875" style="29" hidden="1" customWidth="1"/>
    <col min="18" max="18" width="11.42578125" style="29" hidden="1" customWidth="1"/>
    <col min="19" max="19" width="11.85546875" style="29" hidden="1" customWidth="1"/>
    <col min="20" max="20" width="11.42578125" style="20" hidden="1" customWidth="1"/>
    <col min="21" max="21" width="9.7109375" style="20" hidden="1" customWidth="1"/>
    <col min="22" max="26" width="9.140625" style="20" hidden="1" customWidth="1"/>
    <col min="27" max="28" width="0" style="20" hidden="1" customWidth="1"/>
    <col min="29" max="16384" width="9.140625" style="5"/>
  </cols>
  <sheetData>
    <row r="3" spans="2:9" x14ac:dyDescent="0.2">
      <c r="B3"/>
      <c r="C3"/>
      <c r="D3"/>
      <c r="E3"/>
      <c r="F3"/>
      <c r="G3"/>
      <c r="H3"/>
      <c r="I3"/>
    </row>
    <row r="4" spans="2:9" x14ac:dyDescent="0.2">
      <c r="B4"/>
      <c r="C4" s="1"/>
      <c r="D4" s="1"/>
      <c r="E4"/>
      <c r="F4" s="2"/>
      <c r="G4"/>
      <c r="H4"/>
      <c r="I4" s="8"/>
    </row>
    <row r="5" spans="2:9" ht="18" x14ac:dyDescent="0.25">
      <c r="B5"/>
      <c r="C5" s="166" t="s">
        <v>10</v>
      </c>
      <c r="D5" s="166"/>
      <c r="E5" s="166"/>
      <c r="F5" s="166"/>
      <c r="G5"/>
      <c r="H5"/>
      <c r="I5" s="8"/>
    </row>
    <row r="6" spans="2:9" x14ac:dyDescent="0.2">
      <c r="B6"/>
      <c r="C6" s="167"/>
      <c r="D6" s="167"/>
      <c r="E6" s="167"/>
      <c r="F6" s="167"/>
      <c r="G6"/>
      <c r="H6"/>
      <c r="I6" s="8"/>
    </row>
    <row r="7" spans="2:9" ht="9.75" customHeight="1" x14ac:dyDescent="0.2">
      <c r="B7"/>
      <c r="C7"/>
      <c r="D7"/>
      <c r="E7"/>
      <c r="F7"/>
      <c r="G7"/>
      <c r="H7"/>
      <c r="I7" s="8"/>
    </row>
    <row r="8" spans="2:9" ht="25.5" hidden="1" x14ac:dyDescent="0.2">
      <c r="B8"/>
      <c r="C8" s="32" t="s">
        <v>26</v>
      </c>
      <c r="D8" s="38"/>
      <c r="E8"/>
      <c r="F8"/>
      <c r="G8"/>
      <c r="H8"/>
      <c r="I8" s="8"/>
    </row>
    <row r="9" spans="2:9" hidden="1" x14ac:dyDescent="0.2">
      <c r="B9"/>
      <c r="C9"/>
      <c r="D9"/>
      <c r="E9"/>
      <c r="F9"/>
      <c r="G9"/>
      <c r="H9"/>
      <c r="I9" s="8"/>
    </row>
    <row r="10" spans="2:9" x14ac:dyDescent="0.2">
      <c r="B10"/>
      <c r="C10" s="33" t="s">
        <v>2</v>
      </c>
      <c r="D10" s="168"/>
      <c r="E10" s="169"/>
      <c r="F10"/>
      <c r="G10"/>
      <c r="H10"/>
      <c r="I10" s="8"/>
    </row>
    <row r="11" spans="2:9" x14ac:dyDescent="0.2">
      <c r="B11"/>
      <c r="C11" s="34" t="s">
        <v>36</v>
      </c>
      <c r="D11" s="168"/>
      <c r="E11" s="169"/>
      <c r="F11"/>
      <c r="G11"/>
      <c r="H11"/>
      <c r="I11" s="8"/>
    </row>
    <row r="12" spans="2:9" x14ac:dyDescent="0.2">
      <c r="B12"/>
      <c r="C12" s="33" t="s">
        <v>12</v>
      </c>
      <c r="D12" s="172" t="s">
        <v>132</v>
      </c>
      <c r="E12" s="169"/>
      <c r="F12"/>
      <c r="G12"/>
      <c r="H12"/>
      <c r="I12" s="8"/>
    </row>
    <row r="13" spans="2:9" x14ac:dyDescent="0.2">
      <c r="B13"/>
      <c r="C13" s="33" t="s">
        <v>47</v>
      </c>
      <c r="D13" s="172"/>
      <c r="E13" s="169"/>
      <c r="F13"/>
      <c r="G13"/>
      <c r="H13"/>
      <c r="I13" s="8"/>
    </row>
    <row r="14" spans="2:9" hidden="1" x14ac:dyDescent="0.2">
      <c r="B14"/>
      <c r="C14" s="33" t="s">
        <v>90</v>
      </c>
      <c r="D14" s="175"/>
      <c r="E14" s="176"/>
      <c r="F14"/>
      <c r="G14"/>
      <c r="H14"/>
      <c r="I14" s="8"/>
    </row>
    <row r="15" spans="2:9" x14ac:dyDescent="0.2">
      <c r="B15"/>
      <c r="C15" s="34" t="s">
        <v>37</v>
      </c>
      <c r="D15" s="168"/>
      <c r="E15" s="169"/>
      <c r="F15"/>
      <c r="G15"/>
      <c r="H15"/>
      <c r="I15" s="8"/>
    </row>
    <row r="16" spans="2:9" x14ac:dyDescent="0.2">
      <c r="B16"/>
      <c r="C16" s="34" t="s">
        <v>35</v>
      </c>
      <c r="D16" s="172"/>
      <c r="E16" s="169"/>
      <c r="F16"/>
      <c r="G16"/>
      <c r="H16"/>
      <c r="I16" s="8"/>
    </row>
    <row r="17" spans="2:24" x14ac:dyDescent="0.2">
      <c r="B17"/>
      <c r="C17" s="33" t="s">
        <v>34</v>
      </c>
      <c r="D17" s="172"/>
      <c r="E17" s="169"/>
      <c r="F17"/>
      <c r="G17"/>
      <c r="H17"/>
      <c r="I17" s="8"/>
    </row>
    <row r="18" spans="2:24" x14ac:dyDescent="0.2">
      <c r="B18"/>
      <c r="C18" s="33" t="s">
        <v>44</v>
      </c>
      <c r="D18" s="172"/>
      <c r="E18" s="169"/>
      <c r="F18"/>
      <c r="G18"/>
      <c r="H18"/>
      <c r="I18" s="8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</row>
    <row r="19" spans="2:24" hidden="1" x14ac:dyDescent="0.2">
      <c r="B19"/>
      <c r="C19" s="33" t="s">
        <v>45</v>
      </c>
      <c r="D19" s="173"/>
      <c r="E19" s="174"/>
      <c r="F19"/>
      <c r="G19"/>
      <c r="H19"/>
      <c r="I19" s="8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</row>
    <row r="20" spans="2:24" hidden="1" x14ac:dyDescent="0.2">
      <c r="B20"/>
      <c r="C20" s="33" t="s">
        <v>94</v>
      </c>
      <c r="D20" s="168"/>
      <c r="E20" s="169"/>
      <c r="F20"/>
      <c r="G20"/>
      <c r="H20"/>
      <c r="I20" s="8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</row>
    <row r="21" spans="2:24" x14ac:dyDescent="0.2">
      <c r="B21"/>
      <c r="C21" s="33" t="s">
        <v>81</v>
      </c>
      <c r="D21" s="173"/>
      <c r="E21" s="177"/>
      <c r="F21"/>
      <c r="G21"/>
      <c r="H21"/>
      <c r="I21" s="8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</row>
    <row r="22" spans="2:24" hidden="1" x14ac:dyDescent="0.2">
      <c r="B22"/>
      <c r="C22" s="33" t="s">
        <v>80</v>
      </c>
      <c r="D22" s="173"/>
      <c r="E22" s="174"/>
      <c r="F22"/>
      <c r="G22"/>
      <c r="H22"/>
      <c r="I22" s="8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</row>
    <row r="23" spans="2:24" x14ac:dyDescent="0.2">
      <c r="B23"/>
      <c r="C23"/>
      <c r="D23"/>
      <c r="E23"/>
      <c r="F23"/>
      <c r="G23"/>
      <c r="H23"/>
      <c r="I23" s="8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</row>
    <row r="24" spans="2:24" x14ac:dyDescent="0.2">
      <c r="B24"/>
      <c r="C24"/>
      <c r="D24" s="59" t="s">
        <v>93</v>
      </c>
      <c r="E24"/>
      <c r="F24"/>
      <c r="G24"/>
      <c r="H24"/>
      <c r="I24" s="8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</row>
    <row r="25" spans="2:24" x14ac:dyDescent="0.2">
      <c r="B25"/>
      <c r="C25" s="34" t="s">
        <v>91</v>
      </c>
      <c r="D25" s="61"/>
      <c r="E25" s="60"/>
      <c r="F25"/>
      <c r="G25"/>
      <c r="H25"/>
      <c r="I25" s="8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</row>
    <row r="26" spans="2:24" x14ac:dyDescent="0.2">
      <c r="B26"/>
      <c r="C26" s="34" t="s">
        <v>92</v>
      </c>
      <c r="D26" s="61"/>
      <c r="E26" s="60"/>
      <c r="F26" s="27"/>
      <c r="G26"/>
      <c r="H26"/>
      <c r="I26" s="8"/>
      <c r="K26" s="71"/>
      <c r="L26" s="39"/>
      <c r="M26" s="39"/>
      <c r="N26" s="39"/>
      <c r="O26" s="39"/>
      <c r="P26" s="39"/>
      <c r="Q26" s="39"/>
      <c r="R26" s="39"/>
      <c r="S26" s="39" t="s">
        <v>55</v>
      </c>
      <c r="T26" s="39"/>
      <c r="U26" s="62">
        <v>7.0000000000000007E-2</v>
      </c>
      <c r="V26" s="39"/>
      <c r="W26" s="39"/>
      <c r="X26" s="39"/>
    </row>
    <row r="27" spans="2:24" ht="4.5" customHeight="1" x14ac:dyDescent="0.2">
      <c r="B27"/>
      <c r="C27" s="27"/>
      <c r="D27" s="27"/>
      <c r="E27" s="27"/>
      <c r="F27" s="27"/>
      <c r="G27"/>
      <c r="H27"/>
      <c r="I27" s="8"/>
      <c r="K27" s="71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</row>
    <row r="28" spans="2:24" x14ac:dyDescent="0.2">
      <c r="B28"/>
      <c r="C28" s="27"/>
      <c r="D28" s="27"/>
      <c r="E28" s="27"/>
      <c r="F28" s="27"/>
      <c r="G28"/>
      <c r="H28"/>
      <c r="I28" s="8"/>
      <c r="K28" s="71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</row>
    <row r="29" spans="2:24" ht="16.5" thickBot="1" x14ac:dyDescent="0.3">
      <c r="B29"/>
      <c r="C29" s="22" t="s">
        <v>13</v>
      </c>
      <c r="D29" s="23"/>
      <c r="E29" s="23"/>
      <c r="F29" s="23"/>
      <c r="G29"/>
      <c r="H29"/>
      <c r="I29" s="8"/>
      <c r="J29" s="20"/>
      <c r="K29" s="71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</row>
    <row r="30" spans="2:24" x14ac:dyDescent="0.2">
      <c r="B30"/>
      <c r="C30" s="17"/>
      <c r="D30" s="17"/>
      <c r="E30" s="17"/>
      <c r="F30" s="17"/>
      <c r="G30"/>
      <c r="H30"/>
      <c r="I30" s="8"/>
      <c r="J30" s="20"/>
      <c r="K30" s="71"/>
      <c r="L30" s="39"/>
      <c r="M30" s="63" t="s">
        <v>49</v>
      </c>
      <c r="N30" s="63" t="s">
        <v>27</v>
      </c>
      <c r="O30" s="63" t="s">
        <v>6</v>
      </c>
      <c r="P30" s="63" t="s">
        <v>50</v>
      </c>
      <c r="Q30" s="63" t="s">
        <v>29</v>
      </c>
      <c r="R30" s="63" t="s">
        <v>48</v>
      </c>
      <c r="S30" s="39" t="s">
        <v>52</v>
      </c>
      <c r="T30" s="39" t="s">
        <v>53</v>
      </c>
      <c r="U30" s="39"/>
      <c r="V30" s="39" t="s">
        <v>56</v>
      </c>
      <c r="W30" s="39"/>
      <c r="X30" s="39"/>
    </row>
    <row r="31" spans="2:24" x14ac:dyDescent="0.2">
      <c r="B31"/>
      <c r="C31" s="171" t="s">
        <v>15</v>
      </c>
      <c r="D31" s="171"/>
      <c r="E31" s="11" t="s">
        <v>18</v>
      </c>
      <c r="F31" s="17"/>
      <c r="G31"/>
      <c r="H31"/>
      <c r="I31" s="8"/>
      <c r="J31" s="20"/>
      <c r="K31" s="71"/>
      <c r="L31" s="39" t="s">
        <v>96</v>
      </c>
      <c r="M31" s="64" t="e">
        <f>#REF!</f>
        <v>#REF!</v>
      </c>
      <c r="N31" s="39" t="e">
        <f>#REF!</f>
        <v>#REF!</v>
      </c>
      <c r="O31" s="65" t="e">
        <f>#REF!</f>
        <v>#REF!</v>
      </c>
      <c r="P31" s="66" t="s">
        <v>98</v>
      </c>
      <c r="Q31" s="64" t="e">
        <f>#REF!</f>
        <v>#REF!</v>
      </c>
      <c r="R31" s="66" t="s">
        <v>98</v>
      </c>
      <c r="S31" s="39" t="e">
        <f>#REF!</f>
        <v>#REF!</v>
      </c>
      <c r="T31" s="39" t="e">
        <f>#REF!</f>
        <v>#REF!</v>
      </c>
      <c r="U31" s="67" t="e">
        <f>Q31-N31-T31</f>
        <v>#REF!</v>
      </c>
      <c r="V31" s="68" t="e">
        <f>U31*$U$26</f>
        <v>#REF!</v>
      </c>
      <c r="W31" s="39"/>
      <c r="X31" s="39"/>
    </row>
    <row r="32" spans="2:24" x14ac:dyDescent="0.2">
      <c r="B32"/>
      <c r="C32" s="35" t="s">
        <v>131</v>
      </c>
      <c r="D32" s="36"/>
      <c r="E32" s="11"/>
      <c r="F32" s="17"/>
      <c r="G32"/>
      <c r="H32"/>
      <c r="I32" s="8"/>
      <c r="J32" s="20"/>
      <c r="K32" s="71"/>
      <c r="L32" s="39" t="s">
        <v>97</v>
      </c>
      <c r="M32" s="64" t="e">
        <f>#REF!</f>
        <v>#REF!</v>
      </c>
      <c r="N32" s="39" t="e">
        <f>#REF!</f>
        <v>#REF!</v>
      </c>
      <c r="O32" s="65" t="e">
        <f>#REF!</f>
        <v>#REF!</v>
      </c>
      <c r="P32" s="66" t="e">
        <f>#REF!</f>
        <v>#REF!</v>
      </c>
      <c r="Q32" s="64" t="e">
        <f>#REF!</f>
        <v>#REF!</v>
      </c>
      <c r="R32" s="66" t="e">
        <f>#REF!</f>
        <v>#REF!</v>
      </c>
      <c r="S32" s="39" t="e">
        <f>#REF!</f>
        <v>#REF!</v>
      </c>
      <c r="T32" s="39" t="e">
        <f>#REF!</f>
        <v>#REF!</v>
      </c>
      <c r="U32" s="67" t="e">
        <f t="shared" ref="U32:U34" si="0">Q32-N32-T32</f>
        <v>#REF!</v>
      </c>
      <c r="V32" s="68" t="e">
        <f t="shared" ref="V32:V33" si="1">U32*$U$26</f>
        <v>#REF!</v>
      </c>
      <c r="W32" s="39"/>
      <c r="X32" s="39"/>
    </row>
    <row r="33" spans="2:24" x14ac:dyDescent="0.2">
      <c r="B33"/>
      <c r="C33" s="17"/>
      <c r="D33" s="17"/>
      <c r="E33" s="17"/>
      <c r="F33" s="17"/>
      <c r="G33"/>
      <c r="H33"/>
      <c r="I33" s="8"/>
      <c r="J33" s="20"/>
      <c r="K33" s="71"/>
      <c r="L33" s="39" t="s">
        <v>97</v>
      </c>
      <c r="M33" s="64" t="e">
        <f>SUM(M31:M32)</f>
        <v>#REF!</v>
      </c>
      <c r="N33" s="39" t="e">
        <f>SUM(N31:N32)</f>
        <v>#REF!</v>
      </c>
      <c r="O33" s="69" t="e">
        <f>O31&amp; " &amp; "&amp;O32</f>
        <v>#REF!</v>
      </c>
      <c r="P33" s="66" t="e">
        <f>P31&amp;" &amp; "&amp;P32</f>
        <v>#REF!</v>
      </c>
      <c r="Q33" s="64" t="e">
        <f>SUM(Q31:Q32)</f>
        <v>#REF!</v>
      </c>
      <c r="R33" s="70" t="e">
        <f>R31&amp;" &amp; "&amp;R32</f>
        <v>#REF!</v>
      </c>
      <c r="S33" s="39" t="e">
        <f>S31+S32</f>
        <v>#REF!</v>
      </c>
      <c r="T33" s="39" t="e">
        <f>SUM(T31:T32)</f>
        <v>#REF!</v>
      </c>
      <c r="U33" s="67" t="e">
        <f t="shared" si="0"/>
        <v>#REF!</v>
      </c>
      <c r="V33" s="68" t="e">
        <f t="shared" si="1"/>
        <v>#REF!</v>
      </c>
      <c r="W33" s="39"/>
      <c r="X33" s="39"/>
    </row>
    <row r="34" spans="2:24" x14ac:dyDescent="0.2">
      <c r="B34"/>
      <c r="C34" s="170" t="s">
        <v>38</v>
      </c>
      <c r="D34" s="170"/>
      <c r="E34" s="21"/>
      <c r="F34" s="17"/>
      <c r="G34"/>
      <c r="H34"/>
      <c r="I34" s="8"/>
      <c r="J34" s="20"/>
      <c r="K34" s="71"/>
      <c r="L34" s="39" t="s">
        <v>97</v>
      </c>
      <c r="M34" s="39" t="s">
        <v>51</v>
      </c>
      <c r="N34" s="39" t="s">
        <v>51</v>
      </c>
      <c r="O34" s="39" t="s">
        <v>51</v>
      </c>
      <c r="P34" s="39" t="s">
        <v>51</v>
      </c>
      <c r="Q34" s="64" t="e">
        <f>#REF!</f>
        <v>#REF!</v>
      </c>
      <c r="R34" s="39" t="s">
        <v>51</v>
      </c>
      <c r="S34" s="39" t="s">
        <v>51</v>
      </c>
      <c r="T34" s="39" t="s">
        <v>51</v>
      </c>
      <c r="U34" s="67" t="e">
        <f t="shared" si="0"/>
        <v>#REF!</v>
      </c>
      <c r="V34" s="39" t="s">
        <v>51</v>
      </c>
      <c r="W34" s="39"/>
      <c r="X34" s="39"/>
    </row>
    <row r="35" spans="2:24" x14ac:dyDescent="0.2">
      <c r="B35"/>
      <c r="C35" s="170" t="s">
        <v>59</v>
      </c>
      <c r="D35" s="170"/>
      <c r="E35" s="19"/>
      <c r="F35" s="17"/>
      <c r="G35"/>
      <c r="H35"/>
      <c r="I35" s="8"/>
      <c r="J35" s="20"/>
      <c r="K35" s="71"/>
      <c r="L35" s="39"/>
      <c r="M35" s="39"/>
      <c r="N35" s="39"/>
      <c r="O35" s="39"/>
      <c r="P35" s="39"/>
      <c r="Q35" s="64"/>
      <c r="R35" s="39"/>
      <c r="S35" s="39"/>
      <c r="T35" s="39"/>
      <c r="U35" s="67"/>
      <c r="V35" s="39"/>
      <c r="W35" s="39"/>
      <c r="X35" s="39"/>
    </row>
    <row r="36" spans="2:24" x14ac:dyDescent="0.2">
      <c r="B36"/>
      <c r="C36" s="17"/>
      <c r="D36" s="41" t="s">
        <v>57</v>
      </c>
      <c r="E36" s="19"/>
      <c r="F36" s="17"/>
      <c r="G36"/>
      <c r="H36"/>
      <c r="I36" s="8"/>
      <c r="J36" s="20"/>
      <c r="K36" s="71"/>
      <c r="L36" s="39"/>
      <c r="M36" s="39"/>
      <c r="N36" s="39"/>
      <c r="O36" s="39"/>
      <c r="P36" s="39"/>
      <c r="Q36" s="64"/>
      <c r="R36" s="39"/>
      <c r="S36" s="39"/>
      <c r="T36" s="39"/>
      <c r="U36" s="67"/>
      <c r="V36" s="39"/>
      <c r="W36" s="39"/>
      <c r="X36" s="39"/>
    </row>
    <row r="37" spans="2:24" x14ac:dyDescent="0.2">
      <c r="B37"/>
      <c r="C37" s="17"/>
      <c r="D37" s="41" t="s">
        <v>39</v>
      </c>
      <c r="E37" s="19"/>
      <c r="F37" s="17"/>
      <c r="G37"/>
      <c r="H37"/>
      <c r="I37" s="8"/>
      <c r="J37" s="20"/>
      <c r="K37" s="71"/>
      <c r="L37" s="39"/>
      <c r="M37" s="39"/>
      <c r="N37" s="39"/>
      <c r="O37" s="39"/>
      <c r="P37" s="39"/>
      <c r="Q37" s="64"/>
      <c r="R37" s="39"/>
      <c r="S37" s="39"/>
      <c r="T37" s="39"/>
      <c r="U37" s="67"/>
      <c r="V37" s="39"/>
      <c r="W37" s="39"/>
      <c r="X37" s="39"/>
    </row>
    <row r="38" spans="2:24" x14ac:dyDescent="0.2">
      <c r="B38"/>
      <c r="C38" s="17"/>
      <c r="D38" s="17"/>
      <c r="E38" s="17"/>
      <c r="F38" s="17"/>
      <c r="G38"/>
      <c r="H38"/>
      <c r="I38" s="8"/>
      <c r="J38" s="20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39"/>
      <c r="W38" s="39"/>
      <c r="X38" s="39"/>
    </row>
    <row r="39" spans="2:24" x14ac:dyDescent="0.2">
      <c r="B39"/>
      <c r="C39" s="189" t="s">
        <v>58</v>
      </c>
      <c r="D39" s="190"/>
      <c r="E39" s="21"/>
      <c r="F39" s="17"/>
      <c r="G39"/>
      <c r="H39"/>
      <c r="I39" s="8"/>
      <c r="J39" s="20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</row>
    <row r="40" spans="2:24" x14ac:dyDescent="0.2">
      <c r="B40"/>
      <c r="C40" s="17"/>
      <c r="D40" s="41" t="s">
        <v>16</v>
      </c>
      <c r="E40" s="161"/>
      <c r="F40" s="17"/>
      <c r="G40"/>
      <c r="H40"/>
      <c r="I40" s="8"/>
      <c r="J40" s="20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</row>
    <row r="41" spans="2:24" x14ac:dyDescent="0.2">
      <c r="B41"/>
      <c r="C41" s="17"/>
      <c r="D41" s="41" t="s">
        <v>57</v>
      </c>
      <c r="E41" s="160"/>
      <c r="F41" s="17"/>
      <c r="G41"/>
      <c r="H41"/>
      <c r="I41" s="8"/>
      <c r="J41" s="20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</row>
    <row r="42" spans="2:24" x14ac:dyDescent="0.2">
      <c r="B42"/>
      <c r="C42" s="17"/>
      <c r="D42" s="41" t="s">
        <v>39</v>
      </c>
      <c r="E42" s="161"/>
      <c r="F42"/>
      <c r="G42"/>
      <c r="H42"/>
      <c r="I42" s="8"/>
      <c r="J42" s="20"/>
      <c r="L42" s="20"/>
      <c r="M42" s="20"/>
      <c r="N42" s="20"/>
      <c r="O42" s="20"/>
      <c r="P42" s="20"/>
      <c r="Q42" s="20"/>
      <c r="R42" s="20"/>
      <c r="S42" s="20"/>
    </row>
    <row r="43" spans="2:24" x14ac:dyDescent="0.2">
      <c r="B43"/>
      <c r="C43"/>
      <c r="D43"/>
      <c r="E43"/>
      <c r="F43" s="27"/>
      <c r="G43"/>
      <c r="H43"/>
      <c r="I43" s="8"/>
      <c r="J43" s="20"/>
      <c r="L43" s="39"/>
      <c r="M43" s="39"/>
      <c r="N43" s="39"/>
      <c r="O43" s="39"/>
      <c r="P43" s="39"/>
      <c r="Q43" s="39"/>
      <c r="R43" s="39"/>
    </row>
    <row r="44" spans="2:24" x14ac:dyDescent="0.2">
      <c r="B44"/>
      <c r="C44"/>
      <c r="D44"/>
      <c r="E44"/>
      <c r="F44" s="27"/>
      <c r="G44"/>
      <c r="H44"/>
      <c r="I44" s="8"/>
      <c r="J44" s="20"/>
      <c r="L44" s="39"/>
      <c r="M44" s="39"/>
      <c r="N44" s="39"/>
      <c r="O44" s="39"/>
      <c r="P44" s="39"/>
      <c r="Q44" s="39"/>
      <c r="R44" s="39"/>
    </row>
    <row r="45" spans="2:24" ht="16.5" hidden="1" thickBot="1" x14ac:dyDescent="0.3">
      <c r="B45"/>
      <c r="C45" s="22" t="s">
        <v>30</v>
      </c>
      <c r="D45" s="23"/>
      <c r="E45" s="23"/>
      <c r="F45" s="23"/>
      <c r="G45"/>
      <c r="H45"/>
      <c r="I45" s="8"/>
      <c r="J45" s="20"/>
      <c r="L45" s="39"/>
      <c r="M45" s="39"/>
      <c r="N45" s="39"/>
      <c r="O45" s="39"/>
      <c r="P45" s="39"/>
      <c r="Q45" s="39"/>
      <c r="R45" s="39"/>
    </row>
    <row r="46" spans="2:24" hidden="1" x14ac:dyDescent="0.2">
      <c r="B46"/>
      <c r="C46" s="17"/>
      <c r="D46" s="17"/>
      <c r="E46" s="17"/>
      <c r="F46" s="17"/>
      <c r="G46"/>
      <c r="H46"/>
      <c r="I46" s="8"/>
      <c r="J46" s="20"/>
      <c r="L46" s="39"/>
      <c r="M46" s="39"/>
      <c r="N46" s="39"/>
      <c r="O46" s="39"/>
      <c r="P46" s="39"/>
      <c r="Q46" s="39"/>
      <c r="R46" s="39"/>
    </row>
    <row r="47" spans="2:24" hidden="1" x14ac:dyDescent="0.2">
      <c r="B47"/>
      <c r="C47" s="187" t="s">
        <v>46</v>
      </c>
      <c r="D47" s="188"/>
      <c r="E47" s="26"/>
      <c r="F47" s="17"/>
      <c r="G47"/>
      <c r="H47"/>
      <c r="I47" s="8"/>
      <c r="J47" s="20"/>
      <c r="L47" s="39"/>
      <c r="M47" s="39"/>
      <c r="N47" s="39"/>
      <c r="O47" s="39"/>
      <c r="P47" s="39"/>
      <c r="Q47" s="39"/>
      <c r="R47" s="39"/>
    </row>
    <row r="48" spans="2:24" hidden="1" x14ac:dyDescent="0.2">
      <c r="B48"/>
      <c r="C48" s="187"/>
      <c r="D48" s="188"/>
      <c r="E48" s="26"/>
      <c r="F48" s="17"/>
      <c r="G48"/>
      <c r="H48"/>
      <c r="I48" s="8"/>
      <c r="J48" s="20"/>
      <c r="L48" s="39"/>
      <c r="M48" s="39"/>
      <c r="N48" s="39"/>
      <c r="O48" s="39"/>
      <c r="P48" s="39"/>
      <c r="Q48" s="39"/>
      <c r="R48" s="39"/>
    </row>
    <row r="49" spans="2:18" hidden="1" x14ac:dyDescent="0.2">
      <c r="B49"/>
      <c r="C49" s="17"/>
      <c r="D49" s="30">
        <f>IF(E50="",0,1)</f>
        <v>1</v>
      </c>
      <c r="E49" s="17"/>
      <c r="F49"/>
      <c r="G49"/>
      <c r="H49"/>
      <c r="I49" s="8"/>
      <c r="J49" s="20"/>
      <c r="L49" s="39"/>
      <c r="M49" s="39"/>
      <c r="N49" s="39"/>
      <c r="O49" s="39"/>
      <c r="P49" s="39"/>
      <c r="Q49" s="39"/>
      <c r="R49" s="39"/>
    </row>
    <row r="50" spans="2:18" ht="14.25" hidden="1" x14ac:dyDescent="0.2">
      <c r="B50"/>
      <c r="C50"/>
      <c r="D50"/>
      <c r="E50" s="37" t="str">
        <f>IF(E47+E48&lt;=0, "NO FORECAST PROVIDED, PLEASE COMPLETE", "")</f>
        <v>NO FORECAST PROVIDED, PLEASE COMPLETE</v>
      </c>
      <c r="F50" s="17"/>
      <c r="G50"/>
      <c r="H50"/>
      <c r="I50" s="8"/>
      <c r="J50" s="20"/>
      <c r="L50" s="39"/>
      <c r="M50" s="39"/>
      <c r="N50" s="39"/>
      <c r="O50" s="39"/>
      <c r="P50" s="39"/>
      <c r="Q50" s="39"/>
      <c r="R50" s="39"/>
    </row>
    <row r="51" spans="2:18" hidden="1" x14ac:dyDescent="0.2">
      <c r="B51"/>
      <c r="C51" s="17"/>
      <c r="D51" s="17"/>
      <c r="E51" s="17"/>
      <c r="F51" s="17"/>
      <c r="G51"/>
      <c r="H51"/>
      <c r="I51" s="8"/>
      <c r="J51" s="20"/>
      <c r="L51" s="39"/>
      <c r="M51" s="39"/>
      <c r="N51" s="39"/>
      <c r="O51" s="39"/>
      <c r="P51" s="39"/>
      <c r="Q51" s="39"/>
      <c r="R51" s="39"/>
    </row>
    <row r="52" spans="2:18" ht="13.5" hidden="1" thickBot="1" x14ac:dyDescent="0.25">
      <c r="B52"/>
      <c r="C52" s="17"/>
      <c r="D52" s="17"/>
      <c r="E52" s="17"/>
      <c r="F52" s="23"/>
      <c r="G52"/>
      <c r="H52"/>
      <c r="I52" s="8"/>
      <c r="J52" s="20"/>
      <c r="L52" s="39"/>
      <c r="M52" s="39"/>
      <c r="N52" s="39"/>
      <c r="O52" s="39"/>
      <c r="P52" s="39"/>
      <c r="Q52" s="39"/>
      <c r="R52" s="39"/>
    </row>
    <row r="53" spans="2:18" ht="4.5" hidden="1" customHeight="1" x14ac:dyDescent="0.25">
      <c r="B53"/>
      <c r="C53" s="22" t="s">
        <v>31</v>
      </c>
      <c r="D53" s="23"/>
      <c r="E53" s="23"/>
      <c r="F53" s="17"/>
      <c r="G53"/>
      <c r="H53"/>
      <c r="I53" s="8"/>
      <c r="J53" s="20"/>
      <c r="L53" s="39"/>
      <c r="M53" s="39"/>
      <c r="N53" s="39"/>
      <c r="O53" s="39"/>
      <c r="P53" s="39"/>
      <c r="Q53" s="39"/>
      <c r="R53" s="39"/>
    </row>
    <row r="54" spans="2:18" hidden="1" x14ac:dyDescent="0.2">
      <c r="B54"/>
      <c r="C54" s="17"/>
      <c r="D54" s="17"/>
      <c r="E54" s="17"/>
      <c r="F54" s="17"/>
      <c r="G54"/>
      <c r="H54"/>
      <c r="I54" s="8"/>
      <c r="J54" s="20"/>
      <c r="L54" s="39"/>
      <c r="M54" s="39"/>
      <c r="N54" s="39"/>
      <c r="O54" s="39"/>
      <c r="P54" s="39"/>
      <c r="Q54" s="39"/>
      <c r="R54" s="39"/>
    </row>
    <row r="55" spans="2:18" ht="7.5" hidden="1" customHeight="1" x14ac:dyDescent="0.2">
      <c r="B55"/>
      <c r="C55" s="24" t="s">
        <v>32</v>
      </c>
      <c r="D55" s="11"/>
      <c r="E55" s="17"/>
      <c r="F55" s="17"/>
      <c r="G55"/>
      <c r="H55"/>
      <c r="I55" s="8"/>
      <c r="J55" s="20"/>
      <c r="L55" s="39"/>
      <c r="M55" s="39"/>
      <c r="N55" s="39"/>
      <c r="O55" s="39"/>
      <c r="P55" s="39"/>
      <c r="Q55" s="39"/>
      <c r="R55" s="39"/>
    </row>
    <row r="56" spans="2:18" hidden="1" x14ac:dyDescent="0.2">
      <c r="B56"/>
      <c r="C56" s="17"/>
      <c r="D56" s="17"/>
      <c r="E56" s="17"/>
      <c r="F56" s="17"/>
      <c r="G56"/>
      <c r="H56"/>
      <c r="I56" s="8"/>
      <c r="J56" s="20"/>
      <c r="L56" s="39"/>
      <c r="M56" s="39"/>
      <c r="N56" s="39"/>
      <c r="O56" s="39"/>
      <c r="P56" s="39"/>
      <c r="Q56" s="39"/>
      <c r="R56" s="39"/>
    </row>
    <row r="57" spans="2:18" hidden="1" x14ac:dyDescent="0.2">
      <c r="B57"/>
      <c r="C57" s="25" t="s">
        <v>40</v>
      </c>
      <c r="D57" s="11"/>
      <c r="E57" s="17"/>
      <c r="F57" s="17"/>
      <c r="G57"/>
      <c r="H57"/>
      <c r="I57" s="8"/>
      <c r="J57" s="20"/>
      <c r="L57" s="39"/>
      <c r="M57" s="39"/>
      <c r="N57" s="39"/>
      <c r="O57" s="39"/>
      <c r="P57" s="39"/>
      <c r="Q57" s="39"/>
      <c r="R57" s="39"/>
    </row>
    <row r="58" spans="2:18" hidden="1" x14ac:dyDescent="0.2">
      <c r="B58"/>
      <c r="C58" s="25" t="s">
        <v>41</v>
      </c>
      <c r="D58" s="11"/>
      <c r="E58" s="17"/>
      <c r="F58" s="17"/>
      <c r="G58"/>
      <c r="H58"/>
      <c r="I58" s="8"/>
      <c r="J58" s="20"/>
      <c r="L58" s="39"/>
      <c r="M58" s="39"/>
      <c r="N58" s="39"/>
      <c r="O58" s="39"/>
      <c r="P58" s="39"/>
      <c r="Q58" s="39"/>
      <c r="R58" s="39"/>
    </row>
    <row r="59" spans="2:18" ht="7.5" hidden="1" customHeight="1" x14ac:dyDescent="0.2">
      <c r="B59"/>
      <c r="C59" s="25" t="s">
        <v>42</v>
      </c>
      <c r="D59" s="19"/>
      <c r="E59" s="17"/>
      <c r="F59" s="18"/>
      <c r="G59"/>
      <c r="H59"/>
      <c r="I59" s="8"/>
      <c r="J59" s="20"/>
      <c r="L59" s="39"/>
      <c r="M59" s="39"/>
      <c r="N59" s="39"/>
      <c r="O59" s="39"/>
      <c r="P59" s="39"/>
      <c r="Q59" s="39"/>
      <c r="R59" s="39"/>
    </row>
    <row r="60" spans="2:18" hidden="1" x14ac:dyDescent="0.2">
      <c r="B60"/>
      <c r="C60" s="17"/>
      <c r="D60" s="17"/>
      <c r="E60" s="17"/>
      <c r="F60" s="18"/>
      <c r="G60"/>
      <c r="H60"/>
      <c r="I60" s="8"/>
      <c r="J60" s="20"/>
      <c r="L60" s="39"/>
      <c r="M60" s="39"/>
      <c r="N60" s="39"/>
      <c r="O60" s="39"/>
      <c r="P60" s="39"/>
      <c r="Q60" s="39"/>
      <c r="R60" s="39"/>
    </row>
    <row r="61" spans="2:18" hidden="1" x14ac:dyDescent="0.2">
      <c r="B61"/>
      <c r="C61" s="24" t="s">
        <v>14</v>
      </c>
      <c r="D61" s="11"/>
      <c r="E61" s="17"/>
      <c r="F61" s="18"/>
      <c r="G61"/>
      <c r="H61"/>
      <c r="I61" s="8"/>
      <c r="J61" s="20"/>
      <c r="L61" s="39"/>
      <c r="M61" s="39"/>
      <c r="N61" s="39"/>
      <c r="O61" s="39"/>
      <c r="P61" s="39"/>
      <c r="Q61" s="39"/>
      <c r="R61" s="39"/>
    </row>
    <row r="62" spans="2:18" hidden="1" x14ac:dyDescent="0.2">
      <c r="B62"/>
      <c r="C62" s="24" t="s">
        <v>43</v>
      </c>
      <c r="D62" s="19"/>
      <c r="E62" s="17"/>
      <c r="F62" s="17"/>
      <c r="G62"/>
      <c r="H62"/>
      <c r="I62" s="8"/>
      <c r="J62" s="20"/>
      <c r="L62" s="39"/>
      <c r="M62" s="39"/>
      <c r="N62" s="39"/>
      <c r="O62" s="39"/>
      <c r="P62" s="39"/>
      <c r="Q62" s="39"/>
      <c r="R62" s="39"/>
    </row>
    <row r="63" spans="2:18" x14ac:dyDescent="0.2">
      <c r="B63"/>
      <c r="C63" s="17"/>
      <c r="D63" s="17"/>
      <c r="E63" s="17"/>
      <c r="F63" s="17"/>
      <c r="G63"/>
      <c r="H63"/>
      <c r="I63" s="8"/>
      <c r="J63" s="20"/>
      <c r="L63" s="39"/>
      <c r="M63" s="39"/>
      <c r="N63" s="39"/>
      <c r="O63" s="39"/>
      <c r="P63" s="39"/>
      <c r="Q63" s="39"/>
      <c r="R63" s="39"/>
    </row>
    <row r="64" spans="2:18" ht="12.75" customHeight="1" x14ac:dyDescent="0.2">
      <c r="B64"/>
      <c r="C64" s="56" t="s">
        <v>33</v>
      </c>
      <c r="D64" s="57"/>
      <c r="E64" s="57"/>
      <c r="F64" s="58"/>
      <c r="G64"/>
      <c r="H64"/>
      <c r="I64" s="8"/>
      <c r="J64" s="20"/>
      <c r="L64" s="39"/>
      <c r="M64" s="39"/>
      <c r="N64" s="39"/>
      <c r="O64" s="39"/>
      <c r="P64" s="39"/>
      <c r="Q64" s="39"/>
      <c r="R64" s="39"/>
    </row>
    <row r="65" spans="2:18" x14ac:dyDescent="0.2">
      <c r="B65"/>
      <c r="C65" s="178" t="s">
        <v>145</v>
      </c>
      <c r="D65" s="179"/>
      <c r="E65" s="179"/>
      <c r="F65" s="180"/>
      <c r="G65"/>
      <c r="H65"/>
      <c r="I65" s="8"/>
      <c r="J65" s="20"/>
      <c r="L65" s="39"/>
      <c r="M65" s="39"/>
      <c r="N65" s="39"/>
      <c r="O65" s="39"/>
      <c r="P65" s="39"/>
      <c r="Q65" s="39"/>
      <c r="R65" s="39"/>
    </row>
    <row r="66" spans="2:18" x14ac:dyDescent="0.2">
      <c r="B66"/>
      <c r="C66" s="181"/>
      <c r="D66" s="182"/>
      <c r="E66" s="182"/>
      <c r="F66" s="183"/>
      <c r="G66"/>
      <c r="H66"/>
      <c r="I66" s="8"/>
      <c r="J66" s="20"/>
      <c r="L66" s="39"/>
      <c r="M66" s="39"/>
      <c r="N66" s="39"/>
      <c r="O66" s="39"/>
      <c r="P66" s="39"/>
      <c r="Q66" s="39"/>
      <c r="R66" s="39"/>
    </row>
    <row r="67" spans="2:18" x14ac:dyDescent="0.2">
      <c r="B67"/>
      <c r="C67" s="181"/>
      <c r="D67" s="182"/>
      <c r="E67" s="182"/>
      <c r="F67" s="183"/>
      <c r="G67"/>
      <c r="H67"/>
      <c r="I67" s="8"/>
      <c r="J67" s="20"/>
      <c r="L67" s="39"/>
      <c r="M67" s="39"/>
      <c r="N67" s="39"/>
      <c r="O67" s="39"/>
      <c r="P67" s="39"/>
      <c r="Q67" s="39"/>
      <c r="R67" s="39"/>
    </row>
    <row r="68" spans="2:18" x14ac:dyDescent="0.2">
      <c r="B68"/>
      <c r="C68" s="181"/>
      <c r="D68" s="182"/>
      <c r="E68" s="182"/>
      <c r="F68" s="183"/>
      <c r="G68"/>
      <c r="H68"/>
      <c r="I68" s="8"/>
      <c r="J68" s="20"/>
      <c r="L68" s="39"/>
      <c r="M68" s="39"/>
      <c r="N68" s="39"/>
      <c r="O68" s="39"/>
      <c r="P68" s="39"/>
      <c r="Q68" s="39"/>
      <c r="R68" s="39"/>
    </row>
    <row r="69" spans="2:18" x14ac:dyDescent="0.2">
      <c r="B69"/>
      <c r="C69" s="181"/>
      <c r="D69" s="182"/>
      <c r="E69" s="182"/>
      <c r="F69" s="183"/>
      <c r="G69"/>
      <c r="H69"/>
      <c r="I69" s="8"/>
      <c r="J69" s="20"/>
      <c r="L69" s="39"/>
      <c r="M69" s="39"/>
      <c r="N69" s="39"/>
      <c r="O69" s="39"/>
      <c r="P69" s="39"/>
      <c r="Q69" s="39"/>
      <c r="R69" s="39"/>
    </row>
    <row r="70" spans="2:18" x14ac:dyDescent="0.2">
      <c r="B70"/>
      <c r="C70" s="181"/>
      <c r="D70" s="182"/>
      <c r="E70" s="182"/>
      <c r="F70" s="183"/>
      <c r="G70"/>
      <c r="H70"/>
      <c r="I70" s="8"/>
      <c r="J70" s="20"/>
      <c r="L70" s="39"/>
      <c r="M70" s="39"/>
      <c r="N70" s="39"/>
      <c r="O70" s="39"/>
      <c r="P70" s="39"/>
      <c r="Q70" s="39"/>
      <c r="R70" s="39"/>
    </row>
    <row r="71" spans="2:18" x14ac:dyDescent="0.2">
      <c r="B71"/>
      <c r="C71" s="181"/>
      <c r="D71" s="182"/>
      <c r="E71" s="182"/>
      <c r="F71" s="183"/>
      <c r="G71"/>
      <c r="H71"/>
      <c r="I71" s="8"/>
      <c r="J71" s="20"/>
      <c r="L71" s="39"/>
      <c r="M71" s="39"/>
      <c r="N71" s="39"/>
      <c r="O71" s="39"/>
      <c r="P71" s="39"/>
      <c r="Q71" s="39"/>
      <c r="R71" s="39"/>
    </row>
    <row r="72" spans="2:18" x14ac:dyDescent="0.2">
      <c r="B72"/>
      <c r="C72" s="181"/>
      <c r="D72" s="182"/>
      <c r="E72" s="182"/>
      <c r="F72" s="183"/>
      <c r="G72"/>
      <c r="H72"/>
      <c r="I72" s="8"/>
      <c r="J72" s="20"/>
      <c r="L72" s="39"/>
      <c r="M72" s="39"/>
      <c r="N72" s="39"/>
      <c r="O72" s="39"/>
      <c r="P72" s="39"/>
      <c r="Q72" s="39"/>
      <c r="R72" s="39"/>
    </row>
    <row r="73" spans="2:18" x14ac:dyDescent="0.2">
      <c r="B73"/>
      <c r="C73" s="181"/>
      <c r="D73" s="182"/>
      <c r="E73" s="182"/>
      <c r="F73" s="183"/>
      <c r="G73"/>
      <c r="H73"/>
      <c r="I73" s="8"/>
      <c r="J73" s="20"/>
      <c r="L73" s="39"/>
      <c r="M73" s="39"/>
      <c r="N73" s="39"/>
      <c r="O73" s="39"/>
      <c r="P73" s="39"/>
      <c r="Q73" s="39"/>
      <c r="R73" s="39"/>
    </row>
    <row r="74" spans="2:18" x14ac:dyDescent="0.2">
      <c r="B74"/>
      <c r="C74" s="181"/>
      <c r="D74" s="182"/>
      <c r="E74" s="182"/>
      <c r="F74" s="183"/>
      <c r="G74"/>
      <c r="H74"/>
      <c r="I74" s="8"/>
      <c r="J74" s="20"/>
      <c r="L74" s="39"/>
      <c r="M74" s="39"/>
      <c r="N74" s="39"/>
      <c r="O74" s="39"/>
      <c r="P74" s="39"/>
      <c r="Q74" s="39"/>
      <c r="R74" s="39"/>
    </row>
    <row r="75" spans="2:18" x14ac:dyDescent="0.2">
      <c r="B75"/>
      <c r="C75" s="181"/>
      <c r="D75" s="182"/>
      <c r="E75" s="182"/>
      <c r="F75" s="183"/>
      <c r="G75"/>
      <c r="H75"/>
      <c r="I75" s="8"/>
      <c r="J75" s="20"/>
      <c r="L75" s="39"/>
      <c r="M75" s="39"/>
      <c r="N75" s="39"/>
      <c r="O75" s="39"/>
      <c r="P75" s="39"/>
      <c r="Q75" s="39"/>
      <c r="R75" s="39"/>
    </row>
    <row r="76" spans="2:18" x14ac:dyDescent="0.2">
      <c r="B76"/>
      <c r="C76" s="181"/>
      <c r="D76" s="182"/>
      <c r="E76" s="182"/>
      <c r="F76" s="183"/>
      <c r="G76"/>
      <c r="H76"/>
      <c r="I76" s="8"/>
      <c r="J76" s="20"/>
      <c r="L76" s="39"/>
      <c r="M76" s="39"/>
      <c r="N76" s="39"/>
      <c r="O76" s="39"/>
      <c r="P76" s="39"/>
      <c r="Q76" s="39"/>
      <c r="R76" s="39"/>
    </row>
    <row r="77" spans="2:18" x14ac:dyDescent="0.2">
      <c r="B77"/>
      <c r="C77" s="181"/>
      <c r="D77" s="182"/>
      <c r="E77" s="182"/>
      <c r="F77" s="183"/>
      <c r="G77"/>
      <c r="H77"/>
      <c r="I77" s="8"/>
      <c r="J77" s="20"/>
      <c r="L77" s="39"/>
      <c r="M77" s="39"/>
      <c r="N77" s="39"/>
      <c r="O77" s="39"/>
      <c r="P77" s="39"/>
      <c r="Q77" s="39"/>
      <c r="R77" s="39"/>
    </row>
    <row r="78" spans="2:18" x14ac:dyDescent="0.2">
      <c r="B78"/>
      <c r="C78" s="181"/>
      <c r="D78" s="182"/>
      <c r="E78" s="182"/>
      <c r="F78" s="183"/>
      <c r="G78"/>
      <c r="H78"/>
      <c r="I78" s="8"/>
      <c r="J78" s="20"/>
    </row>
    <row r="79" spans="2:18" x14ac:dyDescent="0.2">
      <c r="B79"/>
      <c r="C79" s="181"/>
      <c r="D79" s="182"/>
      <c r="E79" s="182"/>
      <c r="F79" s="183"/>
      <c r="G79"/>
      <c r="H79"/>
      <c r="I79" s="8"/>
      <c r="J79" s="20"/>
    </row>
    <row r="80" spans="2:18" x14ac:dyDescent="0.2">
      <c r="B80"/>
      <c r="C80" s="181"/>
      <c r="D80" s="182"/>
      <c r="E80" s="182"/>
      <c r="F80" s="183"/>
      <c r="G80"/>
      <c r="H80"/>
      <c r="I80" s="8"/>
      <c r="J80" s="20"/>
    </row>
    <row r="81" spans="2:10" x14ac:dyDescent="0.2">
      <c r="B81"/>
      <c r="C81" s="181"/>
      <c r="D81" s="182"/>
      <c r="E81" s="182"/>
      <c r="F81" s="183"/>
      <c r="G81"/>
      <c r="H81"/>
      <c r="I81" s="8"/>
      <c r="J81" s="20"/>
    </row>
    <row r="82" spans="2:10" x14ac:dyDescent="0.2">
      <c r="B82"/>
      <c r="C82" s="184"/>
      <c r="D82" s="185"/>
      <c r="E82" s="185"/>
      <c r="F82" s="186"/>
      <c r="G82"/>
      <c r="H82"/>
      <c r="I82" s="8"/>
      <c r="J82" s="20"/>
    </row>
    <row r="83" spans="2:10" x14ac:dyDescent="0.2">
      <c r="B83"/>
      <c r="C83" s="72"/>
      <c r="D83" s="72"/>
      <c r="E83" s="72"/>
      <c r="F83" s="72"/>
      <c r="G83"/>
      <c r="H83"/>
      <c r="I83" s="8"/>
      <c r="J83" s="20"/>
    </row>
    <row r="84" spans="2:10" ht="15.75" x14ac:dyDescent="0.2">
      <c r="B84"/>
      <c r="C84" s="148" t="s">
        <v>125</v>
      </c>
      <c r="D84" s="90"/>
      <c r="E84" s="90"/>
      <c r="F84" s="90"/>
      <c r="G84"/>
      <c r="H84"/>
      <c r="I84" s="8"/>
      <c r="J84" s="20"/>
    </row>
    <row r="85" spans="2:10" x14ac:dyDescent="0.2">
      <c r="B85"/>
      <c r="C85" s="90" t="s">
        <v>122</v>
      </c>
      <c r="D85" s="149">
        <v>21030001</v>
      </c>
      <c r="E85" s="90"/>
      <c r="F85" s="90"/>
      <c r="G85"/>
      <c r="H85"/>
      <c r="I85" s="8"/>
      <c r="J85" s="20"/>
    </row>
    <row r="86" spans="2:10" x14ac:dyDescent="0.2">
      <c r="B86"/>
      <c r="C86" s="90" t="s">
        <v>123</v>
      </c>
      <c r="D86" s="149" t="s">
        <v>124</v>
      </c>
      <c r="E86" s="90"/>
      <c r="F86" s="90"/>
      <c r="G86"/>
      <c r="H86"/>
      <c r="I86" s="8"/>
      <c r="J86" s="20"/>
    </row>
    <row r="87" spans="2:10" x14ac:dyDescent="0.2">
      <c r="B87"/>
      <c r="C87" s="90"/>
      <c r="D87" s="90"/>
      <c r="E87" s="90"/>
      <c r="F87" s="90"/>
      <c r="G87"/>
      <c r="H87"/>
      <c r="I87" s="8"/>
      <c r="J87" s="20"/>
    </row>
    <row r="88" spans="2:10" x14ac:dyDescent="0.2">
      <c r="B88"/>
      <c r="C88" s="90"/>
      <c r="D88" s="90"/>
      <c r="E88" s="90"/>
      <c r="F88" s="90"/>
      <c r="G88"/>
      <c r="H88"/>
      <c r="I88" s="8"/>
      <c r="J88" s="20"/>
    </row>
    <row r="89" spans="2:10" x14ac:dyDescent="0.2">
      <c r="B89"/>
      <c r="C89" s="90"/>
      <c r="D89" s="90"/>
      <c r="E89" s="90"/>
      <c r="F89" s="90"/>
      <c r="G89"/>
      <c r="H89"/>
      <c r="I89" s="8"/>
      <c r="J89" s="20"/>
    </row>
    <row r="90" spans="2:10" x14ac:dyDescent="0.2">
      <c r="B90"/>
      <c r="C90" s="90"/>
      <c r="D90" s="90"/>
      <c r="E90" s="90"/>
      <c r="F90" s="90"/>
      <c r="G90"/>
      <c r="H90"/>
      <c r="I90" s="8"/>
      <c r="J90" s="20"/>
    </row>
    <row r="91" spans="2:10" x14ac:dyDescent="0.2">
      <c r="B91"/>
      <c r="C91" s="90"/>
      <c r="D91" s="90"/>
      <c r="E91" s="90"/>
      <c r="F91" s="90"/>
      <c r="G91"/>
      <c r="H91"/>
      <c r="I91" s="8"/>
      <c r="J91" s="20"/>
    </row>
    <row r="92" spans="2:10" ht="15.75" x14ac:dyDescent="0.2">
      <c r="B92"/>
      <c r="C92" s="93" t="s">
        <v>112</v>
      </c>
      <c r="D92" s="91"/>
      <c r="E92" s="92"/>
      <c r="F92" s="113"/>
      <c r="G92"/>
      <c r="H92"/>
      <c r="I92" s="8"/>
      <c r="J92" s="20"/>
    </row>
    <row r="93" spans="2:10" x14ac:dyDescent="0.2">
      <c r="B93"/>
      <c r="C93" s="90"/>
      <c r="D93" s="90"/>
      <c r="E93" s="90"/>
      <c r="F93" s="90"/>
      <c r="G93"/>
      <c r="H93"/>
      <c r="I93" s="8"/>
      <c r="J93" s="20"/>
    </row>
    <row r="94" spans="2:10" x14ac:dyDescent="0.2">
      <c r="B94"/>
      <c r="C94" s="90"/>
      <c r="D94" s="90"/>
      <c r="E94" s="90"/>
      <c r="F94" s="90"/>
      <c r="G94"/>
      <c r="H94"/>
      <c r="I94" s="8"/>
      <c r="J94" s="20"/>
    </row>
    <row r="95" spans="2:10" x14ac:dyDescent="0.2">
      <c r="B95"/>
      <c r="C95" s="72"/>
      <c r="D95" s="72"/>
      <c r="E95" s="72"/>
      <c r="F95" s="72"/>
      <c r="G95"/>
      <c r="H95"/>
      <c r="I95" s="8"/>
      <c r="J95" s="20"/>
    </row>
    <row r="96" spans="2:10" ht="15.75" x14ac:dyDescent="0.2">
      <c r="B96"/>
      <c r="C96" s="84" t="s">
        <v>100</v>
      </c>
      <c r="D96" s="73"/>
      <c r="E96" s="73"/>
      <c r="F96" s="73"/>
      <c r="G96" s="85"/>
      <c r="H96" s="85"/>
      <c r="I96" s="8"/>
      <c r="J96" s="20"/>
    </row>
    <row r="97" spans="2:10" ht="7.5" customHeight="1" thickBot="1" x14ac:dyDescent="0.25">
      <c r="B97"/>
      <c r="C97" s="82"/>
      <c r="D97" s="83"/>
      <c r="E97" s="83"/>
      <c r="F97" s="83"/>
      <c r="G97" s="3"/>
      <c r="H97" s="3"/>
      <c r="I97" s="8"/>
      <c r="J97" s="20"/>
    </row>
    <row r="98" spans="2:10" ht="17.25" customHeight="1" x14ac:dyDescent="0.2">
      <c r="B98"/>
      <c r="C98" s="80" t="s">
        <v>3</v>
      </c>
      <c r="D98" s="80" t="s">
        <v>4</v>
      </c>
      <c r="E98" s="80" t="s">
        <v>101</v>
      </c>
      <c r="F98" s="81" t="s">
        <v>0</v>
      </c>
      <c r="G98" s="81" t="s">
        <v>5</v>
      </c>
      <c r="H98" s="81" t="s">
        <v>102</v>
      </c>
      <c r="I98" s="8"/>
      <c r="J98" s="20"/>
    </row>
    <row r="99" spans="2:10" ht="24" x14ac:dyDescent="0.2">
      <c r="B99"/>
      <c r="C99" s="162" t="s">
        <v>133</v>
      </c>
      <c r="D99" s="86"/>
      <c r="E99" s="86" t="s">
        <v>138</v>
      </c>
      <c r="F99" s="87">
        <v>1</v>
      </c>
      <c r="G99" s="87">
        <v>44937</v>
      </c>
      <c r="H99" s="129">
        <f>F99*G99</f>
        <v>44937</v>
      </c>
      <c r="I99" s="8"/>
      <c r="J99" s="20"/>
    </row>
    <row r="100" spans="2:10" x14ac:dyDescent="0.2">
      <c r="B100"/>
      <c r="C100" s="162" t="s">
        <v>137</v>
      </c>
      <c r="D100" s="86"/>
      <c r="E100" s="86" t="s">
        <v>134</v>
      </c>
      <c r="F100" s="87">
        <v>1</v>
      </c>
      <c r="G100" s="87">
        <v>9910</v>
      </c>
      <c r="H100" s="129">
        <f t="shared" ref="H100:H129" si="2">F100*G100</f>
        <v>9910</v>
      </c>
      <c r="I100" s="8"/>
      <c r="J100" s="20"/>
    </row>
    <row r="101" spans="2:10" x14ac:dyDescent="0.2">
      <c r="B101"/>
      <c r="C101" s="162" t="s">
        <v>136</v>
      </c>
      <c r="D101" s="86"/>
      <c r="E101" s="86" t="s">
        <v>135</v>
      </c>
      <c r="F101" s="87">
        <v>1</v>
      </c>
      <c r="G101" s="87">
        <v>4504</v>
      </c>
      <c r="H101" s="129">
        <f t="shared" si="2"/>
        <v>4504</v>
      </c>
      <c r="I101" s="8"/>
      <c r="J101" s="20"/>
    </row>
    <row r="102" spans="2:10" x14ac:dyDescent="0.2">
      <c r="B102"/>
      <c r="C102" s="86"/>
      <c r="D102" s="86" t="s">
        <v>146</v>
      </c>
      <c r="E102" s="86" t="s">
        <v>139</v>
      </c>
      <c r="F102" s="87"/>
      <c r="G102" s="87"/>
      <c r="H102" s="129">
        <f t="shared" si="2"/>
        <v>0</v>
      </c>
      <c r="I102" s="8"/>
      <c r="J102" s="20"/>
    </row>
    <row r="103" spans="2:10" x14ac:dyDescent="0.2">
      <c r="B103"/>
      <c r="C103" s="86"/>
      <c r="D103" s="86" t="s">
        <v>146</v>
      </c>
      <c r="E103" s="86" t="s">
        <v>143</v>
      </c>
      <c r="F103" s="87">
        <v>1</v>
      </c>
      <c r="G103" s="87"/>
      <c r="H103" s="129">
        <f t="shared" si="2"/>
        <v>0</v>
      </c>
      <c r="I103" s="8"/>
      <c r="J103" s="20"/>
    </row>
    <row r="104" spans="2:10" x14ac:dyDescent="0.2">
      <c r="B104"/>
      <c r="C104" s="86"/>
      <c r="D104" s="86" t="s">
        <v>146</v>
      </c>
      <c r="E104" s="86" t="s">
        <v>141</v>
      </c>
      <c r="F104" s="87">
        <v>1</v>
      </c>
      <c r="G104" s="87"/>
      <c r="H104" s="129">
        <f t="shared" si="2"/>
        <v>0</v>
      </c>
      <c r="I104" s="8"/>
      <c r="J104" s="20"/>
    </row>
    <row r="105" spans="2:10" x14ac:dyDescent="0.2">
      <c r="B105"/>
      <c r="C105" s="86"/>
      <c r="D105" s="86" t="s">
        <v>146</v>
      </c>
      <c r="E105" s="86" t="s">
        <v>142</v>
      </c>
      <c r="F105" s="87">
        <v>1</v>
      </c>
      <c r="G105" s="87"/>
      <c r="H105" s="129">
        <f t="shared" si="2"/>
        <v>0</v>
      </c>
      <c r="I105" s="8"/>
      <c r="J105" s="20"/>
    </row>
    <row r="106" spans="2:10" x14ac:dyDescent="0.2">
      <c r="B106"/>
      <c r="C106" s="86"/>
      <c r="D106" s="86"/>
      <c r="E106" s="86" t="s">
        <v>140</v>
      </c>
      <c r="F106" s="87">
        <v>1</v>
      </c>
      <c r="G106" s="87">
        <v>2900</v>
      </c>
      <c r="H106" s="129">
        <f t="shared" si="2"/>
        <v>2900</v>
      </c>
      <c r="I106" s="8"/>
      <c r="J106" s="20"/>
    </row>
    <row r="107" spans="2:10" x14ac:dyDescent="0.2">
      <c r="B107"/>
      <c r="C107" s="86"/>
      <c r="D107" s="86"/>
      <c r="E107" s="86" t="s">
        <v>144</v>
      </c>
      <c r="F107" s="87">
        <v>1</v>
      </c>
      <c r="G107" s="87">
        <v>14950</v>
      </c>
      <c r="H107" s="129">
        <f t="shared" si="2"/>
        <v>14950</v>
      </c>
      <c r="I107" s="8"/>
      <c r="J107" s="20"/>
    </row>
    <row r="108" spans="2:10" x14ac:dyDescent="0.2">
      <c r="B108"/>
      <c r="C108" s="86"/>
      <c r="D108" s="86"/>
      <c r="E108" s="86"/>
      <c r="F108" s="87"/>
      <c r="G108" s="87"/>
      <c r="H108" s="129">
        <f t="shared" si="2"/>
        <v>0</v>
      </c>
      <c r="I108" s="8"/>
      <c r="J108" s="20"/>
    </row>
    <row r="109" spans="2:10" x14ac:dyDescent="0.2">
      <c r="B109"/>
      <c r="C109" s="86"/>
      <c r="D109" s="86"/>
      <c r="E109" s="86"/>
      <c r="F109" s="87"/>
      <c r="G109" s="87"/>
      <c r="H109" s="129">
        <f t="shared" si="2"/>
        <v>0</v>
      </c>
      <c r="I109" s="8"/>
      <c r="J109" s="20"/>
    </row>
    <row r="110" spans="2:10" x14ac:dyDescent="0.2">
      <c r="B110"/>
      <c r="C110" s="86"/>
      <c r="D110" s="86"/>
      <c r="E110" s="86"/>
      <c r="F110" s="87"/>
      <c r="G110" s="87"/>
      <c r="H110" s="129">
        <f t="shared" si="2"/>
        <v>0</v>
      </c>
      <c r="I110" s="8"/>
      <c r="J110" s="20"/>
    </row>
    <row r="111" spans="2:10" x14ac:dyDescent="0.2">
      <c r="B111"/>
      <c r="C111" s="86"/>
      <c r="D111" s="86"/>
      <c r="E111" s="86"/>
      <c r="F111" s="87"/>
      <c r="G111" s="87"/>
      <c r="H111" s="129">
        <f t="shared" si="2"/>
        <v>0</v>
      </c>
      <c r="I111" s="8"/>
      <c r="J111" s="20"/>
    </row>
    <row r="112" spans="2:10" x14ac:dyDescent="0.2">
      <c r="B112"/>
      <c r="C112" s="86"/>
      <c r="D112" s="86"/>
      <c r="E112" s="86"/>
      <c r="F112" s="87"/>
      <c r="G112" s="87"/>
      <c r="H112" s="129">
        <f t="shared" si="2"/>
        <v>0</v>
      </c>
      <c r="I112" s="8"/>
      <c r="J112" s="20"/>
    </row>
    <row r="113" spans="2:10" x14ac:dyDescent="0.2">
      <c r="B113"/>
      <c r="C113" s="86"/>
      <c r="D113" s="86"/>
      <c r="E113" s="86"/>
      <c r="F113" s="87"/>
      <c r="G113" s="87"/>
      <c r="H113" s="129">
        <f t="shared" si="2"/>
        <v>0</v>
      </c>
      <c r="I113" s="8"/>
      <c r="J113" s="20"/>
    </row>
    <row r="114" spans="2:10" x14ac:dyDescent="0.2">
      <c r="B114"/>
      <c r="C114" s="86"/>
      <c r="D114" s="86"/>
      <c r="E114" s="86"/>
      <c r="F114" s="87"/>
      <c r="G114" s="87"/>
      <c r="H114" s="129">
        <f t="shared" si="2"/>
        <v>0</v>
      </c>
      <c r="I114" s="8"/>
      <c r="J114" s="20"/>
    </row>
    <row r="115" spans="2:10" x14ac:dyDescent="0.2">
      <c r="B115"/>
      <c r="C115" s="86"/>
      <c r="D115" s="86"/>
      <c r="E115" s="86"/>
      <c r="F115" s="87"/>
      <c r="G115" s="87"/>
      <c r="H115" s="129">
        <f t="shared" si="2"/>
        <v>0</v>
      </c>
      <c r="I115" s="8"/>
      <c r="J115" s="20"/>
    </row>
    <row r="116" spans="2:10" x14ac:dyDescent="0.2">
      <c r="B116"/>
      <c r="C116" s="86"/>
      <c r="D116" s="86"/>
      <c r="E116" s="86"/>
      <c r="F116" s="87"/>
      <c r="G116" s="87"/>
      <c r="H116" s="129">
        <f t="shared" si="2"/>
        <v>0</v>
      </c>
      <c r="I116" s="8"/>
      <c r="J116" s="20"/>
    </row>
    <row r="117" spans="2:10" x14ac:dyDescent="0.2">
      <c r="B117"/>
      <c r="C117" s="86"/>
      <c r="D117" s="86"/>
      <c r="E117" s="86"/>
      <c r="F117" s="87"/>
      <c r="G117" s="87"/>
      <c r="H117" s="129">
        <f t="shared" si="2"/>
        <v>0</v>
      </c>
      <c r="I117" s="8"/>
      <c r="J117" s="20"/>
    </row>
    <row r="118" spans="2:10" x14ac:dyDescent="0.2">
      <c r="B118"/>
      <c r="C118" s="86"/>
      <c r="D118" s="86"/>
      <c r="E118" s="86"/>
      <c r="F118" s="87"/>
      <c r="G118" s="87"/>
      <c r="H118" s="129">
        <f t="shared" si="2"/>
        <v>0</v>
      </c>
      <c r="I118" s="8"/>
      <c r="J118" s="20"/>
    </row>
    <row r="119" spans="2:10" x14ac:dyDescent="0.2">
      <c r="B119"/>
      <c r="C119" s="86"/>
      <c r="D119" s="86"/>
      <c r="E119" s="86"/>
      <c r="F119" s="87"/>
      <c r="G119" s="87"/>
      <c r="H119" s="129">
        <f t="shared" si="2"/>
        <v>0</v>
      </c>
      <c r="I119" s="8"/>
      <c r="J119" s="20"/>
    </row>
    <row r="120" spans="2:10" x14ac:dyDescent="0.2">
      <c r="B120"/>
      <c r="C120" s="86"/>
      <c r="D120" s="86"/>
      <c r="E120" s="86"/>
      <c r="F120" s="87"/>
      <c r="G120" s="87"/>
      <c r="H120" s="129">
        <f t="shared" si="2"/>
        <v>0</v>
      </c>
      <c r="I120" s="8"/>
      <c r="J120" s="20"/>
    </row>
    <row r="121" spans="2:10" x14ac:dyDescent="0.2">
      <c r="B121"/>
      <c r="C121" s="86"/>
      <c r="D121" s="86"/>
      <c r="E121" s="86"/>
      <c r="F121" s="87"/>
      <c r="G121" s="87"/>
      <c r="H121" s="129">
        <f t="shared" si="2"/>
        <v>0</v>
      </c>
      <c r="I121" s="8"/>
      <c r="J121" s="20"/>
    </row>
    <row r="122" spans="2:10" x14ac:dyDescent="0.2">
      <c r="B122"/>
      <c r="C122" s="88"/>
      <c r="D122" s="88"/>
      <c r="E122" s="88"/>
      <c r="F122" s="88"/>
      <c r="G122" s="128"/>
      <c r="H122" s="129">
        <f t="shared" si="2"/>
        <v>0</v>
      </c>
      <c r="I122" s="8"/>
      <c r="J122" s="20"/>
    </row>
    <row r="123" spans="2:10" x14ac:dyDescent="0.2">
      <c r="B123"/>
      <c r="C123" s="88"/>
      <c r="D123" s="88"/>
      <c r="E123" s="88"/>
      <c r="F123" s="88"/>
      <c r="G123" s="128"/>
      <c r="H123" s="129">
        <f t="shared" si="2"/>
        <v>0</v>
      </c>
      <c r="I123" s="8"/>
      <c r="J123" s="20"/>
    </row>
    <row r="124" spans="2:10" x14ac:dyDescent="0.2">
      <c r="B124"/>
      <c r="C124" s="88"/>
      <c r="D124" s="88"/>
      <c r="E124" s="88"/>
      <c r="F124" s="88"/>
      <c r="G124" s="128"/>
      <c r="H124" s="129">
        <f t="shared" si="2"/>
        <v>0</v>
      </c>
      <c r="I124" s="8"/>
      <c r="J124" s="20"/>
    </row>
    <row r="125" spans="2:10" x14ac:dyDescent="0.2">
      <c r="B125"/>
      <c r="C125" s="88"/>
      <c r="D125" s="88"/>
      <c r="E125" s="88"/>
      <c r="F125" s="88"/>
      <c r="G125" s="128"/>
      <c r="H125" s="129">
        <f t="shared" si="2"/>
        <v>0</v>
      </c>
      <c r="I125" s="8"/>
      <c r="J125" s="20"/>
    </row>
    <row r="126" spans="2:10" x14ac:dyDescent="0.2">
      <c r="B126"/>
      <c r="C126" s="88"/>
      <c r="D126" s="88"/>
      <c r="E126" s="88"/>
      <c r="F126" s="88"/>
      <c r="G126" s="128"/>
      <c r="H126" s="129">
        <f t="shared" si="2"/>
        <v>0</v>
      </c>
      <c r="I126" s="8"/>
      <c r="J126" s="20"/>
    </row>
    <row r="127" spans="2:10" x14ac:dyDescent="0.2">
      <c r="B127"/>
      <c r="C127" s="88"/>
      <c r="D127" s="88"/>
      <c r="E127" s="88"/>
      <c r="F127" s="88"/>
      <c r="G127" s="128"/>
      <c r="H127" s="129">
        <f t="shared" si="2"/>
        <v>0</v>
      </c>
      <c r="I127" s="8"/>
      <c r="J127" s="20"/>
    </row>
    <row r="128" spans="2:10" x14ac:dyDescent="0.2">
      <c r="B128"/>
      <c r="C128" s="88"/>
      <c r="D128" s="88"/>
      <c r="E128" s="88"/>
      <c r="F128" s="88"/>
      <c r="G128" s="128"/>
      <c r="H128" s="129">
        <f t="shared" si="2"/>
        <v>0</v>
      </c>
      <c r="I128" s="8"/>
      <c r="J128" s="20"/>
    </row>
    <row r="129" spans="2:10" x14ac:dyDescent="0.2">
      <c r="B129"/>
      <c r="C129" s="88"/>
      <c r="D129" s="88"/>
      <c r="E129" s="88"/>
      <c r="F129" s="88"/>
      <c r="G129" s="128"/>
      <c r="H129" s="129">
        <f t="shared" si="2"/>
        <v>0</v>
      </c>
      <c r="I129" s="8"/>
      <c r="J129" s="20"/>
    </row>
    <row r="130" spans="2:10" ht="18" customHeight="1" x14ac:dyDescent="0.2">
      <c r="B130"/>
      <c r="C130" s="72"/>
      <c r="D130" s="72"/>
      <c r="E130" s="72"/>
      <c r="F130" s="72"/>
      <c r="G130" s="72"/>
      <c r="H130" s="130"/>
      <c r="I130" s="8"/>
      <c r="J130" s="20"/>
    </row>
    <row r="131" spans="2:10" ht="13.5" thickBot="1" x14ac:dyDescent="0.25">
      <c r="B131"/>
      <c r="C131" s="72" t="s">
        <v>103</v>
      </c>
      <c r="D131" s="76"/>
      <c r="E131" s="72"/>
      <c r="F131" s="77" t="s">
        <v>126</v>
      </c>
      <c r="G131" s="78"/>
      <c r="H131" s="131">
        <f>SUM(H99:H129)</f>
        <v>77201</v>
      </c>
      <c r="I131" s="8"/>
      <c r="J131" s="20"/>
    </row>
    <row r="132" spans="2:10" x14ac:dyDescent="0.2">
      <c r="B132"/>
      <c r="C132" s="150"/>
      <c r="D132" s="150"/>
      <c r="E132" s="72"/>
      <c r="F132" s="72"/>
      <c r="G132"/>
      <c r="H132"/>
      <c r="I132" s="8"/>
      <c r="J132" s="20"/>
    </row>
    <row r="133" spans="2:10" x14ac:dyDescent="0.2">
      <c r="B133"/>
      <c r="C133" s="150"/>
      <c r="D133" s="150"/>
      <c r="E133" s="150"/>
      <c r="F133" s="152" t="s">
        <v>109</v>
      </c>
      <c r="G133" s="151"/>
      <c r="H133" s="155"/>
      <c r="I133" s="8"/>
      <c r="J133" s="20"/>
    </row>
    <row r="134" spans="2:10" x14ac:dyDescent="0.2">
      <c r="B134"/>
      <c r="C134" s="150"/>
      <c r="D134" s="150"/>
      <c r="E134" s="150"/>
      <c r="F134" s="152" t="s">
        <v>53</v>
      </c>
      <c r="G134" s="151"/>
      <c r="H134" s="155"/>
      <c r="I134" s="8"/>
      <c r="J134" s="20"/>
    </row>
    <row r="135" spans="2:10" x14ac:dyDescent="0.2">
      <c r="B135"/>
      <c r="C135" s="150"/>
      <c r="D135" s="150"/>
      <c r="E135" s="150"/>
      <c r="F135" s="152" t="s">
        <v>108</v>
      </c>
      <c r="G135" s="151"/>
      <c r="H135" s="155"/>
      <c r="I135" s="8"/>
      <c r="J135" s="20"/>
    </row>
    <row r="136" spans="2:10" x14ac:dyDescent="0.2">
      <c r="B136"/>
      <c r="C136" s="150"/>
      <c r="D136" s="150"/>
      <c r="E136" s="158"/>
      <c r="F136" s="152" t="s">
        <v>110</v>
      </c>
      <c r="G136" s="151"/>
      <c r="H136" s="159"/>
      <c r="I136" s="8"/>
      <c r="J136" s="20"/>
    </row>
    <row r="137" spans="2:10" x14ac:dyDescent="0.2">
      <c r="B137"/>
      <c r="C137" s="150"/>
      <c r="D137" s="150"/>
      <c r="E137" s="150"/>
      <c r="F137" s="154"/>
      <c r="G137" s="150"/>
      <c r="H137" s="150"/>
      <c r="I137" s="8"/>
      <c r="J137" s="20"/>
    </row>
    <row r="138" spans="2:10" ht="13.5" thickBot="1" x14ac:dyDescent="0.25">
      <c r="B138"/>
      <c r="C138" s="150"/>
      <c r="D138" s="150"/>
      <c r="E138" s="72"/>
      <c r="F138" s="77" t="s">
        <v>127</v>
      </c>
      <c r="G138" s="78"/>
      <c r="H138" s="131">
        <f>SUM(H131:H136)</f>
        <v>77201</v>
      </c>
      <c r="I138" s="8"/>
      <c r="J138" s="20"/>
    </row>
    <row r="139" spans="2:10" x14ac:dyDescent="0.2">
      <c r="B139"/>
      <c r="C139" s="72"/>
      <c r="D139" s="72"/>
      <c r="E139" s="72"/>
      <c r="F139" s="72"/>
      <c r="G139"/>
      <c r="H139"/>
      <c r="I139" s="8"/>
      <c r="J139" s="20"/>
    </row>
    <row r="140" spans="2:10" ht="15.75" x14ac:dyDescent="0.2">
      <c r="B140"/>
      <c r="C140" s="84" t="s">
        <v>104</v>
      </c>
      <c r="D140" s="75"/>
      <c r="E140" s="75"/>
      <c r="F140" s="75"/>
      <c r="G140" s="85"/>
      <c r="H140" s="85"/>
      <c r="I140" s="8"/>
      <c r="J140" s="20"/>
    </row>
    <row r="141" spans="2:10" ht="7.5" customHeight="1" thickBot="1" x14ac:dyDescent="0.25">
      <c r="B141"/>
      <c r="C141" s="82"/>
      <c r="D141" s="83"/>
      <c r="E141" s="83"/>
      <c r="F141" s="83"/>
      <c r="G141" s="3"/>
      <c r="H141" s="3"/>
      <c r="I141" s="8"/>
      <c r="J141" s="20"/>
    </row>
    <row r="142" spans="2:10" x14ac:dyDescent="0.2">
      <c r="B142"/>
      <c r="C142" s="80" t="s">
        <v>3</v>
      </c>
      <c r="D142" s="80" t="s">
        <v>4</v>
      </c>
      <c r="E142" s="80" t="s">
        <v>101</v>
      </c>
      <c r="F142" s="81" t="s">
        <v>0</v>
      </c>
      <c r="G142" s="81" t="s">
        <v>5</v>
      </c>
      <c r="H142" s="81" t="s">
        <v>102</v>
      </c>
      <c r="I142" s="8"/>
      <c r="J142" s="20"/>
    </row>
    <row r="143" spans="2:10" x14ac:dyDescent="0.2">
      <c r="B143"/>
      <c r="C143" s="86"/>
      <c r="D143" s="86"/>
      <c r="E143" s="86"/>
      <c r="F143" s="87"/>
      <c r="G143" s="87"/>
      <c r="H143" s="129">
        <f>F143*G143</f>
        <v>0</v>
      </c>
      <c r="I143" s="8"/>
      <c r="J143" s="20"/>
    </row>
    <row r="144" spans="2:10" x14ac:dyDescent="0.2">
      <c r="B144"/>
      <c r="C144" s="86"/>
      <c r="D144" s="86"/>
      <c r="E144" s="86"/>
      <c r="F144" s="87"/>
      <c r="G144" s="87"/>
      <c r="H144" s="129">
        <f t="shared" ref="H144:H166" si="3">F144*G144</f>
        <v>0</v>
      </c>
      <c r="I144" s="8"/>
      <c r="J144" s="20"/>
    </row>
    <row r="145" spans="2:10" x14ac:dyDescent="0.2">
      <c r="B145"/>
      <c r="C145" s="86"/>
      <c r="D145" s="86"/>
      <c r="E145" s="86"/>
      <c r="F145" s="87"/>
      <c r="G145" s="87"/>
      <c r="H145" s="129">
        <f t="shared" si="3"/>
        <v>0</v>
      </c>
      <c r="I145" s="8"/>
      <c r="J145" s="20"/>
    </row>
    <row r="146" spans="2:10" x14ac:dyDescent="0.2">
      <c r="B146"/>
      <c r="C146" s="86"/>
      <c r="D146" s="86"/>
      <c r="E146" s="86"/>
      <c r="F146" s="87"/>
      <c r="G146" s="87"/>
      <c r="H146" s="129">
        <f t="shared" si="3"/>
        <v>0</v>
      </c>
      <c r="I146" s="8"/>
      <c r="J146" s="20"/>
    </row>
    <row r="147" spans="2:10" x14ac:dyDescent="0.2">
      <c r="B147"/>
      <c r="C147" s="86"/>
      <c r="D147" s="86"/>
      <c r="E147" s="86"/>
      <c r="F147" s="87"/>
      <c r="G147" s="87"/>
      <c r="H147" s="129">
        <f t="shared" si="3"/>
        <v>0</v>
      </c>
      <c r="I147" s="8"/>
      <c r="J147" s="20"/>
    </row>
    <row r="148" spans="2:10" x14ac:dyDescent="0.2">
      <c r="B148"/>
      <c r="C148" s="86"/>
      <c r="D148" s="86"/>
      <c r="E148" s="86"/>
      <c r="F148" s="87"/>
      <c r="G148" s="87"/>
      <c r="H148" s="129">
        <f t="shared" si="3"/>
        <v>0</v>
      </c>
      <c r="I148" s="8"/>
      <c r="J148" s="20"/>
    </row>
    <row r="149" spans="2:10" x14ac:dyDescent="0.2">
      <c r="B149"/>
      <c r="C149" s="86"/>
      <c r="D149" s="86"/>
      <c r="E149" s="86"/>
      <c r="F149" s="87"/>
      <c r="G149" s="87"/>
      <c r="H149" s="129">
        <f t="shared" si="3"/>
        <v>0</v>
      </c>
      <c r="I149" s="8"/>
      <c r="J149" s="20"/>
    </row>
    <row r="150" spans="2:10" x14ac:dyDescent="0.2">
      <c r="B150"/>
      <c r="C150" s="86"/>
      <c r="D150" s="86"/>
      <c r="E150" s="86"/>
      <c r="F150" s="87"/>
      <c r="G150" s="87"/>
      <c r="H150" s="129">
        <f t="shared" si="3"/>
        <v>0</v>
      </c>
      <c r="I150" s="8"/>
      <c r="J150" s="20"/>
    </row>
    <row r="151" spans="2:10" x14ac:dyDescent="0.2">
      <c r="B151"/>
      <c r="C151" s="86"/>
      <c r="D151" s="86"/>
      <c r="E151" s="86"/>
      <c r="F151" s="87"/>
      <c r="G151" s="87"/>
      <c r="H151" s="129">
        <f t="shared" si="3"/>
        <v>0</v>
      </c>
      <c r="I151" s="8"/>
      <c r="J151" s="20"/>
    </row>
    <row r="152" spans="2:10" x14ac:dyDescent="0.2">
      <c r="B152"/>
      <c r="C152" s="86"/>
      <c r="D152" s="86"/>
      <c r="E152" s="86"/>
      <c r="F152" s="87"/>
      <c r="G152" s="87"/>
      <c r="H152" s="129">
        <f t="shared" si="3"/>
        <v>0</v>
      </c>
      <c r="I152" s="8"/>
      <c r="J152" s="20"/>
    </row>
    <row r="153" spans="2:10" x14ac:dyDescent="0.2">
      <c r="B153"/>
      <c r="C153" s="86"/>
      <c r="D153" s="86"/>
      <c r="E153" s="86"/>
      <c r="F153" s="87"/>
      <c r="G153" s="87"/>
      <c r="H153" s="129">
        <f t="shared" si="3"/>
        <v>0</v>
      </c>
      <c r="I153" s="8"/>
      <c r="J153" s="20"/>
    </row>
    <row r="154" spans="2:10" x14ac:dyDescent="0.2">
      <c r="B154"/>
      <c r="C154" s="86"/>
      <c r="D154" s="86"/>
      <c r="E154" s="86"/>
      <c r="F154" s="87"/>
      <c r="G154" s="87"/>
      <c r="H154" s="129">
        <f t="shared" si="3"/>
        <v>0</v>
      </c>
      <c r="I154" s="8"/>
      <c r="J154" s="20"/>
    </row>
    <row r="155" spans="2:10" x14ac:dyDescent="0.2">
      <c r="B155"/>
      <c r="C155" s="86"/>
      <c r="D155" s="86"/>
      <c r="E155" s="86"/>
      <c r="F155" s="87"/>
      <c r="G155" s="87"/>
      <c r="H155" s="129">
        <f t="shared" si="3"/>
        <v>0</v>
      </c>
      <c r="I155" s="8"/>
      <c r="J155" s="20"/>
    </row>
    <row r="156" spans="2:10" x14ac:dyDescent="0.2">
      <c r="B156"/>
      <c r="C156" s="86"/>
      <c r="D156" s="86"/>
      <c r="E156" s="86"/>
      <c r="F156" s="87"/>
      <c r="G156" s="87"/>
      <c r="H156" s="129">
        <f t="shared" si="3"/>
        <v>0</v>
      </c>
      <c r="I156" s="8"/>
      <c r="J156" s="20"/>
    </row>
    <row r="157" spans="2:10" x14ac:dyDescent="0.2">
      <c r="B157"/>
      <c r="C157" s="86"/>
      <c r="D157" s="86"/>
      <c r="E157" s="86"/>
      <c r="F157" s="87"/>
      <c r="G157" s="87"/>
      <c r="H157" s="129">
        <f t="shared" si="3"/>
        <v>0</v>
      </c>
      <c r="I157" s="8"/>
      <c r="J157" s="20"/>
    </row>
    <row r="158" spans="2:10" x14ac:dyDescent="0.2">
      <c r="B158"/>
      <c r="C158" s="86"/>
      <c r="D158" s="86"/>
      <c r="E158" s="86"/>
      <c r="F158" s="87"/>
      <c r="G158" s="87"/>
      <c r="H158" s="129">
        <f t="shared" si="3"/>
        <v>0</v>
      </c>
      <c r="I158" s="8"/>
      <c r="J158" s="20"/>
    </row>
    <row r="159" spans="2:10" x14ac:dyDescent="0.2">
      <c r="B159"/>
      <c r="C159" s="88"/>
      <c r="D159" s="88"/>
      <c r="E159" s="88"/>
      <c r="F159" s="88"/>
      <c r="G159" s="128"/>
      <c r="H159" s="129">
        <f t="shared" si="3"/>
        <v>0</v>
      </c>
      <c r="I159" s="8"/>
      <c r="J159" s="20"/>
    </row>
    <row r="160" spans="2:10" x14ac:dyDescent="0.2">
      <c r="B160"/>
      <c r="C160" s="88"/>
      <c r="D160" s="88"/>
      <c r="E160" s="88"/>
      <c r="F160" s="88"/>
      <c r="G160" s="128"/>
      <c r="H160" s="129">
        <f t="shared" si="3"/>
        <v>0</v>
      </c>
      <c r="I160" s="8"/>
      <c r="J160" s="20"/>
    </row>
    <row r="161" spans="2:10" x14ac:dyDescent="0.2">
      <c r="B161"/>
      <c r="C161" s="88"/>
      <c r="D161" s="88"/>
      <c r="E161" s="88"/>
      <c r="F161" s="88"/>
      <c r="G161" s="128"/>
      <c r="H161" s="129">
        <f t="shared" si="3"/>
        <v>0</v>
      </c>
      <c r="I161" s="8"/>
      <c r="J161" s="20"/>
    </row>
    <row r="162" spans="2:10" x14ac:dyDescent="0.2">
      <c r="B162"/>
      <c r="C162" s="88"/>
      <c r="D162" s="88"/>
      <c r="E162" s="88"/>
      <c r="F162" s="88"/>
      <c r="G162" s="128"/>
      <c r="H162" s="129">
        <f t="shared" si="3"/>
        <v>0</v>
      </c>
      <c r="I162" s="8"/>
      <c r="J162" s="20"/>
    </row>
    <row r="163" spans="2:10" x14ac:dyDescent="0.2">
      <c r="B163"/>
      <c r="C163" s="88"/>
      <c r="D163" s="88"/>
      <c r="E163" s="88"/>
      <c r="F163" s="88"/>
      <c r="G163" s="128"/>
      <c r="H163" s="129">
        <f t="shared" si="3"/>
        <v>0</v>
      </c>
      <c r="I163" s="8"/>
      <c r="J163" s="20"/>
    </row>
    <row r="164" spans="2:10" x14ac:dyDescent="0.2">
      <c r="B164"/>
      <c r="C164" s="88"/>
      <c r="D164" s="88"/>
      <c r="E164" s="88"/>
      <c r="F164" s="88"/>
      <c r="G164" s="128"/>
      <c r="H164" s="129">
        <f t="shared" si="3"/>
        <v>0</v>
      </c>
      <c r="I164" s="8"/>
      <c r="J164" s="20"/>
    </row>
    <row r="165" spans="2:10" x14ac:dyDescent="0.2">
      <c r="B165"/>
      <c r="C165" s="88"/>
      <c r="D165" s="88"/>
      <c r="E165" s="88"/>
      <c r="F165" s="88"/>
      <c r="G165" s="128"/>
      <c r="H165" s="129">
        <f t="shared" si="3"/>
        <v>0</v>
      </c>
      <c r="I165" s="8"/>
      <c r="J165" s="20"/>
    </row>
    <row r="166" spans="2:10" x14ac:dyDescent="0.2">
      <c r="B166"/>
      <c r="C166" s="88"/>
      <c r="D166" s="88"/>
      <c r="E166" s="88"/>
      <c r="F166" s="88"/>
      <c r="G166" s="128"/>
      <c r="H166" s="129">
        <f t="shared" si="3"/>
        <v>0</v>
      </c>
      <c r="I166" s="8"/>
      <c r="J166" s="20"/>
    </row>
    <row r="167" spans="2:10" x14ac:dyDescent="0.2">
      <c r="B167"/>
      <c r="C167" s="74"/>
      <c r="D167" s="74"/>
      <c r="E167" s="74"/>
      <c r="F167" s="74"/>
      <c r="G167" s="74"/>
      <c r="H167" s="130"/>
      <c r="I167" s="8"/>
      <c r="J167" s="20"/>
    </row>
    <row r="168" spans="2:10" ht="13.5" thickBot="1" x14ac:dyDescent="0.25">
      <c r="B168"/>
      <c r="C168" s="74" t="s">
        <v>103</v>
      </c>
      <c r="D168" s="76"/>
      <c r="E168" s="74"/>
      <c r="F168" s="77" t="s">
        <v>126</v>
      </c>
      <c r="G168" s="78"/>
      <c r="H168" s="131">
        <f>SUM(H143:H166)</f>
        <v>0</v>
      </c>
      <c r="I168" s="8"/>
      <c r="J168" s="20"/>
    </row>
    <row r="169" spans="2:10" x14ac:dyDescent="0.2">
      <c r="B169"/>
      <c r="C169" s="72"/>
      <c r="D169" s="72"/>
      <c r="E169" s="72"/>
      <c r="F169" s="72"/>
      <c r="G169"/>
      <c r="H169"/>
      <c r="I169" s="8"/>
      <c r="J169" s="20"/>
    </row>
    <row r="170" spans="2:10" x14ac:dyDescent="0.2">
      <c r="B170"/>
      <c r="C170" s="150"/>
      <c r="D170" s="150"/>
      <c r="E170" s="150"/>
      <c r="F170" s="152" t="s">
        <v>109</v>
      </c>
      <c r="G170" s="151"/>
      <c r="H170" s="155"/>
      <c r="I170" s="8"/>
      <c r="J170" s="20"/>
    </row>
    <row r="171" spans="2:10" x14ac:dyDescent="0.2">
      <c r="B171"/>
      <c r="C171" s="150"/>
      <c r="D171" s="150"/>
      <c r="E171" s="150"/>
      <c r="F171" s="152" t="s">
        <v>53</v>
      </c>
      <c r="G171" s="151"/>
      <c r="H171" s="155"/>
      <c r="I171" s="8"/>
      <c r="J171" s="20"/>
    </row>
    <row r="172" spans="2:10" x14ac:dyDescent="0.2">
      <c r="B172"/>
      <c r="C172" s="150"/>
      <c r="D172" s="150"/>
      <c r="E172" s="150"/>
      <c r="F172" s="152" t="s">
        <v>108</v>
      </c>
      <c r="G172" s="151"/>
      <c r="H172" s="155"/>
      <c r="I172" s="8"/>
      <c r="J172" s="20"/>
    </row>
    <row r="173" spans="2:10" x14ac:dyDescent="0.2">
      <c r="B173"/>
      <c r="C173" s="150"/>
      <c r="D173" s="150"/>
      <c r="E173" s="150"/>
      <c r="F173" s="152" t="s">
        <v>110</v>
      </c>
      <c r="G173" s="151"/>
      <c r="H173" s="159">
        <f>H168*0.075</f>
        <v>0</v>
      </c>
      <c r="I173" s="8"/>
      <c r="J173" s="20"/>
    </row>
    <row r="174" spans="2:10" x14ac:dyDescent="0.2">
      <c r="B174"/>
      <c r="C174" s="150"/>
      <c r="D174" s="150"/>
      <c r="E174" s="150"/>
      <c r="F174" s="154"/>
      <c r="G174" s="150"/>
      <c r="H174" s="150"/>
      <c r="I174" s="8"/>
      <c r="J174" s="20"/>
    </row>
    <row r="175" spans="2:10" ht="13.5" thickBot="1" x14ac:dyDescent="0.25">
      <c r="B175"/>
      <c r="C175" s="150"/>
      <c r="D175" s="150"/>
      <c r="E175" s="150"/>
      <c r="F175" s="77" t="s">
        <v>128</v>
      </c>
      <c r="G175" s="78"/>
      <c r="H175" s="131">
        <f>SUM(H168:H173)</f>
        <v>0</v>
      </c>
      <c r="I175" s="8"/>
      <c r="J175" s="20"/>
    </row>
    <row r="176" spans="2:10" x14ac:dyDescent="0.2">
      <c r="B176"/>
      <c r="C176" s="74"/>
      <c r="D176" s="74"/>
      <c r="E176" s="74"/>
      <c r="F176" s="74"/>
      <c r="G176"/>
      <c r="H176"/>
      <c r="I176" s="8"/>
      <c r="J176" s="20"/>
    </row>
    <row r="177" spans="2:10" x14ac:dyDescent="0.2">
      <c r="B177"/>
      <c r="C177" s="72"/>
      <c r="D177" s="72"/>
      <c r="E177" s="72"/>
      <c r="F177" s="72"/>
      <c r="G177"/>
      <c r="H177"/>
      <c r="I177" s="8"/>
      <c r="J177" s="20"/>
    </row>
    <row r="178" spans="2:10" ht="15.75" x14ac:dyDescent="0.2">
      <c r="B178"/>
      <c r="C178" s="84" t="s">
        <v>105</v>
      </c>
      <c r="D178" s="75"/>
      <c r="E178" s="75"/>
      <c r="F178" s="75"/>
      <c r="G178" s="85"/>
      <c r="H178" s="85"/>
      <c r="I178" s="8"/>
      <c r="J178" s="20"/>
    </row>
    <row r="179" spans="2:10" ht="6" customHeight="1" thickBot="1" x14ac:dyDescent="0.25">
      <c r="B179"/>
      <c r="C179" s="82"/>
      <c r="D179" s="83"/>
      <c r="E179" s="83"/>
      <c r="F179" s="83"/>
      <c r="G179" s="3"/>
      <c r="H179" s="3"/>
      <c r="I179" s="8"/>
      <c r="J179" s="20"/>
    </row>
    <row r="180" spans="2:10" x14ac:dyDescent="0.2">
      <c r="B180"/>
      <c r="C180" s="80" t="s">
        <v>3</v>
      </c>
      <c r="D180" s="80" t="s">
        <v>4</v>
      </c>
      <c r="E180" s="80" t="s">
        <v>101</v>
      </c>
      <c r="F180" s="81" t="s">
        <v>0</v>
      </c>
      <c r="G180" s="81" t="s">
        <v>5</v>
      </c>
      <c r="H180" s="81" t="s">
        <v>102</v>
      </c>
      <c r="I180" s="8"/>
      <c r="J180" s="20"/>
    </row>
    <row r="181" spans="2:10" x14ac:dyDescent="0.2">
      <c r="B181"/>
      <c r="C181" s="86"/>
      <c r="D181" s="86"/>
      <c r="E181" s="86"/>
      <c r="F181" s="87"/>
      <c r="G181" s="87"/>
      <c r="H181" s="129">
        <f>F181*G181</f>
        <v>0</v>
      </c>
      <c r="I181" s="8"/>
      <c r="J181" s="20"/>
    </row>
    <row r="182" spans="2:10" x14ac:dyDescent="0.2">
      <c r="B182"/>
      <c r="C182" s="86"/>
      <c r="D182" s="86"/>
      <c r="E182" s="86"/>
      <c r="F182" s="87"/>
      <c r="G182" s="87"/>
      <c r="H182" s="129">
        <f t="shared" ref="H182:H203" si="4">F182*G182</f>
        <v>0</v>
      </c>
      <c r="I182" s="8"/>
      <c r="J182" s="20"/>
    </row>
    <row r="183" spans="2:10" x14ac:dyDescent="0.2">
      <c r="B183"/>
      <c r="C183" s="86"/>
      <c r="D183" s="86"/>
      <c r="E183" s="86"/>
      <c r="F183" s="87"/>
      <c r="G183" s="87"/>
      <c r="H183" s="129">
        <f t="shared" si="4"/>
        <v>0</v>
      </c>
      <c r="I183" s="8"/>
      <c r="J183" s="20"/>
    </row>
    <row r="184" spans="2:10" x14ac:dyDescent="0.2">
      <c r="B184"/>
      <c r="C184" s="86"/>
      <c r="D184" s="86"/>
      <c r="E184" s="86"/>
      <c r="F184" s="87"/>
      <c r="G184" s="87"/>
      <c r="H184" s="129">
        <f t="shared" si="4"/>
        <v>0</v>
      </c>
      <c r="I184" s="8"/>
      <c r="J184" s="20"/>
    </row>
    <row r="185" spans="2:10" x14ac:dyDescent="0.2">
      <c r="B185"/>
      <c r="C185" s="86"/>
      <c r="D185" s="86"/>
      <c r="E185" s="86"/>
      <c r="F185" s="87"/>
      <c r="G185" s="87"/>
      <c r="H185" s="129">
        <f t="shared" si="4"/>
        <v>0</v>
      </c>
      <c r="I185" s="8"/>
      <c r="J185" s="20"/>
    </row>
    <row r="186" spans="2:10" x14ac:dyDescent="0.2">
      <c r="B186"/>
      <c r="C186" s="86"/>
      <c r="D186" s="86"/>
      <c r="E186" s="86"/>
      <c r="F186" s="87"/>
      <c r="G186" s="87"/>
      <c r="H186" s="129">
        <f t="shared" si="4"/>
        <v>0</v>
      </c>
      <c r="I186" s="8"/>
      <c r="J186" s="20"/>
    </row>
    <row r="187" spans="2:10" x14ac:dyDescent="0.2">
      <c r="B187"/>
      <c r="C187" s="86"/>
      <c r="D187" s="86"/>
      <c r="E187" s="86"/>
      <c r="F187" s="87"/>
      <c r="G187" s="87"/>
      <c r="H187" s="129">
        <f t="shared" si="4"/>
        <v>0</v>
      </c>
      <c r="I187" s="8"/>
      <c r="J187" s="20"/>
    </row>
    <row r="188" spans="2:10" x14ac:dyDescent="0.2">
      <c r="B188"/>
      <c r="C188" s="86"/>
      <c r="D188" s="86"/>
      <c r="E188" s="86"/>
      <c r="F188" s="87"/>
      <c r="G188" s="87"/>
      <c r="H188" s="129">
        <f t="shared" si="4"/>
        <v>0</v>
      </c>
      <c r="I188" s="8"/>
      <c r="J188" s="20"/>
    </row>
    <row r="189" spans="2:10" x14ac:dyDescent="0.2">
      <c r="B189"/>
      <c r="C189" s="86"/>
      <c r="D189" s="86"/>
      <c r="E189" s="86"/>
      <c r="F189" s="87"/>
      <c r="G189" s="87"/>
      <c r="H189" s="129">
        <f t="shared" si="4"/>
        <v>0</v>
      </c>
      <c r="I189" s="8"/>
      <c r="J189" s="20"/>
    </row>
    <row r="190" spans="2:10" x14ac:dyDescent="0.2">
      <c r="B190"/>
      <c r="C190" s="86"/>
      <c r="D190" s="86"/>
      <c r="E190" s="86"/>
      <c r="F190" s="87"/>
      <c r="G190" s="87"/>
      <c r="H190" s="129">
        <f t="shared" si="4"/>
        <v>0</v>
      </c>
      <c r="I190" s="8"/>
      <c r="J190" s="20"/>
    </row>
    <row r="191" spans="2:10" x14ac:dyDescent="0.2">
      <c r="B191"/>
      <c r="C191" s="86"/>
      <c r="D191" s="86"/>
      <c r="E191" s="86"/>
      <c r="F191" s="87"/>
      <c r="G191" s="87"/>
      <c r="H191" s="129">
        <f t="shared" si="4"/>
        <v>0</v>
      </c>
      <c r="I191" s="8"/>
      <c r="J191" s="20"/>
    </row>
    <row r="192" spans="2:10" x14ac:dyDescent="0.2">
      <c r="B192"/>
      <c r="C192" s="86"/>
      <c r="D192" s="86"/>
      <c r="E192" s="86"/>
      <c r="F192" s="87"/>
      <c r="G192" s="87"/>
      <c r="H192" s="129">
        <f t="shared" si="4"/>
        <v>0</v>
      </c>
      <c r="I192" s="8"/>
      <c r="J192" s="20"/>
    </row>
    <row r="193" spans="2:10" x14ac:dyDescent="0.2">
      <c r="B193"/>
      <c r="C193" s="86"/>
      <c r="D193" s="86"/>
      <c r="E193" s="86"/>
      <c r="F193" s="87"/>
      <c r="G193" s="87"/>
      <c r="H193" s="129">
        <f t="shared" si="4"/>
        <v>0</v>
      </c>
      <c r="I193" s="8"/>
      <c r="J193" s="20"/>
    </row>
    <row r="194" spans="2:10" x14ac:dyDescent="0.2">
      <c r="B194"/>
      <c r="C194" s="86"/>
      <c r="D194" s="86"/>
      <c r="E194" s="86"/>
      <c r="F194" s="87"/>
      <c r="G194" s="87"/>
      <c r="H194" s="129">
        <f t="shared" si="4"/>
        <v>0</v>
      </c>
      <c r="I194" s="8"/>
      <c r="J194" s="20"/>
    </row>
    <row r="195" spans="2:10" x14ac:dyDescent="0.2">
      <c r="B195"/>
      <c r="C195" s="86"/>
      <c r="D195" s="86"/>
      <c r="E195" s="86"/>
      <c r="F195" s="87"/>
      <c r="G195" s="87"/>
      <c r="H195" s="129">
        <f t="shared" si="4"/>
        <v>0</v>
      </c>
      <c r="I195" s="8"/>
      <c r="J195" s="20"/>
    </row>
    <row r="196" spans="2:10" x14ac:dyDescent="0.2">
      <c r="B196"/>
      <c r="C196" s="88"/>
      <c r="D196" s="88"/>
      <c r="E196" s="88"/>
      <c r="F196" s="88"/>
      <c r="G196" s="128"/>
      <c r="H196" s="129">
        <f t="shared" si="4"/>
        <v>0</v>
      </c>
      <c r="I196" s="8"/>
      <c r="J196" s="20"/>
    </row>
    <row r="197" spans="2:10" x14ac:dyDescent="0.2">
      <c r="B197"/>
      <c r="C197" s="88"/>
      <c r="D197" s="88"/>
      <c r="E197" s="88"/>
      <c r="F197" s="88"/>
      <c r="G197" s="128"/>
      <c r="H197" s="129">
        <f t="shared" si="4"/>
        <v>0</v>
      </c>
      <c r="I197" s="8"/>
      <c r="J197" s="20"/>
    </row>
    <row r="198" spans="2:10" x14ac:dyDescent="0.2">
      <c r="B198"/>
      <c r="C198" s="88"/>
      <c r="D198" s="88"/>
      <c r="E198" s="88"/>
      <c r="F198" s="88"/>
      <c r="G198" s="128"/>
      <c r="H198" s="129">
        <f t="shared" si="4"/>
        <v>0</v>
      </c>
      <c r="I198" s="8"/>
      <c r="J198" s="20"/>
    </row>
    <row r="199" spans="2:10" x14ac:dyDescent="0.2">
      <c r="B199"/>
      <c r="C199" s="88"/>
      <c r="D199" s="88"/>
      <c r="E199" s="88"/>
      <c r="F199" s="88"/>
      <c r="G199" s="128"/>
      <c r="H199" s="129">
        <f t="shared" si="4"/>
        <v>0</v>
      </c>
      <c r="I199" s="8"/>
      <c r="J199" s="20"/>
    </row>
    <row r="200" spans="2:10" x14ac:dyDescent="0.2">
      <c r="B200"/>
      <c r="C200" s="88"/>
      <c r="D200" s="88"/>
      <c r="E200" s="88"/>
      <c r="F200" s="88"/>
      <c r="G200" s="128"/>
      <c r="H200" s="129">
        <f t="shared" si="4"/>
        <v>0</v>
      </c>
      <c r="I200" s="8"/>
      <c r="J200" s="20"/>
    </row>
    <row r="201" spans="2:10" x14ac:dyDescent="0.2">
      <c r="B201"/>
      <c r="C201" s="88"/>
      <c r="D201" s="88"/>
      <c r="E201" s="88"/>
      <c r="F201" s="88"/>
      <c r="G201" s="128"/>
      <c r="H201" s="129">
        <f t="shared" si="4"/>
        <v>0</v>
      </c>
      <c r="I201" s="8"/>
      <c r="J201" s="20"/>
    </row>
    <row r="202" spans="2:10" x14ac:dyDescent="0.2">
      <c r="B202"/>
      <c r="C202" s="88"/>
      <c r="D202" s="88"/>
      <c r="E202" s="88"/>
      <c r="F202" s="88"/>
      <c r="G202" s="128"/>
      <c r="H202" s="129">
        <f t="shared" si="4"/>
        <v>0</v>
      </c>
      <c r="I202" s="8"/>
      <c r="J202" s="20"/>
    </row>
    <row r="203" spans="2:10" x14ac:dyDescent="0.2">
      <c r="B203"/>
      <c r="C203" s="88"/>
      <c r="D203" s="88"/>
      <c r="E203" s="88"/>
      <c r="F203" s="88"/>
      <c r="G203" s="128"/>
      <c r="H203" s="129">
        <f t="shared" si="4"/>
        <v>0</v>
      </c>
      <c r="I203" s="8"/>
      <c r="J203" s="20"/>
    </row>
    <row r="204" spans="2:10" x14ac:dyDescent="0.2">
      <c r="B204"/>
      <c r="C204" s="74"/>
      <c r="D204" s="74"/>
      <c r="E204" s="74"/>
      <c r="F204" s="74"/>
      <c r="G204" s="74"/>
      <c r="H204" s="130"/>
      <c r="I204" s="8"/>
      <c r="J204" s="20"/>
    </row>
    <row r="205" spans="2:10" ht="13.5" thickBot="1" x14ac:dyDescent="0.25">
      <c r="B205"/>
      <c r="C205" s="74" t="s">
        <v>103</v>
      </c>
      <c r="D205" s="76"/>
      <c r="E205" s="74"/>
      <c r="F205" s="77" t="s">
        <v>126</v>
      </c>
      <c r="G205" s="78"/>
      <c r="H205" s="131">
        <f>SUM(H181:H203)</f>
        <v>0</v>
      </c>
      <c r="I205" s="8"/>
      <c r="J205" s="20"/>
    </row>
    <row r="206" spans="2:10" x14ac:dyDescent="0.2">
      <c r="B206"/>
      <c r="C206" s="150"/>
      <c r="D206" s="150"/>
      <c r="E206" s="150"/>
      <c r="F206" s="153"/>
      <c r="G206" s="156"/>
      <c r="H206" s="157"/>
      <c r="I206" s="8"/>
      <c r="J206" s="20"/>
    </row>
    <row r="207" spans="2:10" x14ac:dyDescent="0.2">
      <c r="B207"/>
      <c r="C207" s="150"/>
      <c r="D207" s="150"/>
      <c r="E207" s="150"/>
      <c r="F207" s="152" t="s">
        <v>109</v>
      </c>
      <c r="G207" s="151"/>
      <c r="H207" s="155"/>
      <c r="I207" s="8"/>
      <c r="J207" s="20"/>
    </row>
    <row r="208" spans="2:10" x14ac:dyDescent="0.2">
      <c r="B208"/>
      <c r="C208" s="150"/>
      <c r="D208" s="150"/>
      <c r="E208" s="150"/>
      <c r="F208" s="152" t="s">
        <v>53</v>
      </c>
      <c r="G208" s="151"/>
      <c r="H208" s="155"/>
      <c r="I208" s="8"/>
      <c r="J208" s="20"/>
    </row>
    <row r="209" spans="2:10" x14ac:dyDescent="0.2">
      <c r="B209"/>
      <c r="C209" s="17"/>
      <c r="D209" s="17"/>
      <c r="E209" s="17"/>
      <c r="F209" s="152" t="s">
        <v>108</v>
      </c>
      <c r="G209" s="151"/>
      <c r="H209" s="155"/>
      <c r="I209" s="8"/>
      <c r="J209" s="20"/>
    </row>
    <row r="210" spans="2:10" x14ac:dyDescent="0.2">
      <c r="B210"/>
      <c r="C210" s="17"/>
      <c r="D210" s="17"/>
      <c r="E210" s="17"/>
      <c r="F210" s="152" t="s">
        <v>110</v>
      </c>
      <c r="G210" s="151"/>
      <c r="H210" s="159">
        <f>H205*0.075</f>
        <v>0</v>
      </c>
      <c r="I210" s="8"/>
      <c r="J210" s="20"/>
    </row>
    <row r="211" spans="2:10" x14ac:dyDescent="0.2">
      <c r="B211"/>
      <c r="C211" s="17"/>
      <c r="D211" s="17"/>
      <c r="E211" s="17"/>
      <c r="F211" s="154"/>
      <c r="G211" s="150"/>
      <c r="H211" s="150"/>
      <c r="I211" s="8"/>
      <c r="J211" s="20"/>
    </row>
    <row r="212" spans="2:10" ht="13.5" thickBot="1" x14ac:dyDescent="0.25">
      <c r="B212"/>
      <c r="C212" s="17"/>
      <c r="D212" s="17"/>
      <c r="E212" s="17"/>
      <c r="F212" s="77" t="s">
        <v>129</v>
      </c>
      <c r="G212" s="78"/>
      <c r="H212" s="131">
        <f>SUM(H205:H210)</f>
        <v>0</v>
      </c>
      <c r="I212" s="8"/>
      <c r="J212" s="20"/>
    </row>
    <row r="213" spans="2:10" x14ac:dyDescent="0.2">
      <c r="B213"/>
      <c r="C213" s="17"/>
      <c r="D213" s="17"/>
      <c r="E213" s="17"/>
      <c r="F213" s="153"/>
      <c r="G213" s="156"/>
      <c r="H213" s="157"/>
      <c r="I213" s="8"/>
      <c r="J213" s="20"/>
    </row>
    <row r="214" spans="2:10" ht="15.75" x14ac:dyDescent="0.2">
      <c r="B214"/>
      <c r="C214" s="84" t="s">
        <v>106</v>
      </c>
      <c r="D214" s="75"/>
      <c r="E214" s="75"/>
      <c r="F214" s="75"/>
      <c r="G214" s="85"/>
      <c r="H214" s="85"/>
      <c r="I214" s="8"/>
      <c r="J214" s="20"/>
    </row>
    <row r="215" spans="2:10" ht="8.25" customHeight="1" thickBot="1" x14ac:dyDescent="0.25">
      <c r="B215"/>
      <c r="C215" s="82"/>
      <c r="D215" s="83"/>
      <c r="E215" s="83"/>
      <c r="F215" s="83"/>
      <c r="G215" s="3"/>
      <c r="H215" s="3"/>
      <c r="I215" s="8"/>
      <c r="J215" s="20"/>
    </row>
    <row r="216" spans="2:10" x14ac:dyDescent="0.2">
      <c r="B216"/>
      <c r="C216" s="80" t="s">
        <v>3</v>
      </c>
      <c r="D216" s="80" t="s">
        <v>4</v>
      </c>
      <c r="E216" s="80" t="s">
        <v>101</v>
      </c>
      <c r="F216" s="81" t="s">
        <v>0</v>
      </c>
      <c r="G216" s="81" t="s">
        <v>5</v>
      </c>
      <c r="H216" s="81" t="s">
        <v>102</v>
      </c>
      <c r="I216" s="8"/>
      <c r="J216" s="20"/>
    </row>
    <row r="217" spans="2:10" x14ac:dyDescent="0.2">
      <c r="B217"/>
      <c r="C217" s="86"/>
      <c r="D217" s="86"/>
      <c r="E217" s="86"/>
      <c r="F217" s="87"/>
      <c r="G217" s="87"/>
      <c r="H217" s="129">
        <f>F217*G217</f>
        <v>0</v>
      </c>
      <c r="I217" s="8"/>
      <c r="J217" s="20"/>
    </row>
    <row r="218" spans="2:10" x14ac:dyDescent="0.2">
      <c r="B218"/>
      <c r="C218" s="86"/>
      <c r="D218" s="86"/>
      <c r="E218" s="86"/>
      <c r="F218" s="87"/>
      <c r="G218" s="87"/>
      <c r="H218" s="129">
        <f t="shared" ref="H218:H236" si="5">F218*G218</f>
        <v>0</v>
      </c>
      <c r="I218" s="8"/>
      <c r="J218" s="20"/>
    </row>
    <row r="219" spans="2:10" x14ac:dyDescent="0.2">
      <c r="B219"/>
      <c r="C219" s="86"/>
      <c r="D219" s="86"/>
      <c r="E219" s="86"/>
      <c r="F219" s="87"/>
      <c r="G219" s="87"/>
      <c r="H219" s="129">
        <f t="shared" si="5"/>
        <v>0</v>
      </c>
      <c r="I219" s="8"/>
      <c r="J219" s="20"/>
    </row>
    <row r="220" spans="2:10" x14ac:dyDescent="0.2">
      <c r="B220"/>
      <c r="C220" s="86"/>
      <c r="D220" s="86"/>
      <c r="E220" s="86"/>
      <c r="F220" s="87"/>
      <c r="G220" s="87"/>
      <c r="H220" s="129">
        <f t="shared" si="5"/>
        <v>0</v>
      </c>
      <c r="I220" s="8"/>
      <c r="J220" s="20"/>
    </row>
    <row r="221" spans="2:10" x14ac:dyDescent="0.2">
      <c r="B221"/>
      <c r="C221" s="86"/>
      <c r="D221" s="86"/>
      <c r="E221" s="86"/>
      <c r="F221" s="87"/>
      <c r="G221" s="87"/>
      <c r="H221" s="129">
        <f t="shared" si="5"/>
        <v>0</v>
      </c>
      <c r="I221" s="8"/>
      <c r="J221" s="20"/>
    </row>
    <row r="222" spans="2:10" x14ac:dyDescent="0.2">
      <c r="B222"/>
      <c r="C222" s="86"/>
      <c r="D222" s="86"/>
      <c r="E222" s="86"/>
      <c r="F222" s="87"/>
      <c r="G222" s="87"/>
      <c r="H222" s="129">
        <f t="shared" si="5"/>
        <v>0</v>
      </c>
      <c r="I222" s="8"/>
      <c r="J222" s="20"/>
    </row>
    <row r="223" spans="2:10" x14ac:dyDescent="0.2">
      <c r="B223"/>
      <c r="C223" s="86"/>
      <c r="D223" s="86"/>
      <c r="E223" s="86"/>
      <c r="F223" s="87"/>
      <c r="G223" s="87"/>
      <c r="H223" s="129">
        <f t="shared" si="5"/>
        <v>0</v>
      </c>
      <c r="I223" s="8"/>
      <c r="J223" s="20"/>
    </row>
    <row r="224" spans="2:10" x14ac:dyDescent="0.2">
      <c r="B224"/>
      <c r="C224" s="86"/>
      <c r="D224" s="86"/>
      <c r="E224" s="86"/>
      <c r="F224" s="87"/>
      <c r="G224" s="87"/>
      <c r="H224" s="129">
        <f t="shared" si="5"/>
        <v>0</v>
      </c>
      <c r="I224" s="8"/>
      <c r="J224" s="20"/>
    </row>
    <row r="225" spans="2:10" x14ac:dyDescent="0.2">
      <c r="B225"/>
      <c r="C225" s="86"/>
      <c r="D225" s="86"/>
      <c r="E225" s="86"/>
      <c r="F225" s="87"/>
      <c r="G225" s="87"/>
      <c r="H225" s="129">
        <f t="shared" si="5"/>
        <v>0</v>
      </c>
      <c r="I225" s="8"/>
      <c r="J225" s="20"/>
    </row>
    <row r="226" spans="2:10" x14ac:dyDescent="0.2">
      <c r="B226"/>
      <c r="C226" s="86"/>
      <c r="D226" s="86"/>
      <c r="E226" s="86"/>
      <c r="F226" s="87"/>
      <c r="G226" s="87"/>
      <c r="H226" s="129">
        <f t="shared" si="5"/>
        <v>0</v>
      </c>
      <c r="I226" s="8"/>
      <c r="J226" s="20"/>
    </row>
    <row r="227" spans="2:10" x14ac:dyDescent="0.2">
      <c r="B227"/>
      <c r="C227" s="86"/>
      <c r="D227" s="86"/>
      <c r="E227" s="86"/>
      <c r="F227" s="87"/>
      <c r="G227" s="87"/>
      <c r="H227" s="129">
        <f t="shared" si="5"/>
        <v>0</v>
      </c>
      <c r="I227" s="8"/>
      <c r="J227" s="20"/>
    </row>
    <row r="228" spans="2:10" x14ac:dyDescent="0.2">
      <c r="B228"/>
      <c r="C228" s="86"/>
      <c r="D228" s="86"/>
      <c r="E228" s="86"/>
      <c r="F228" s="87"/>
      <c r="G228" s="87"/>
      <c r="H228" s="129">
        <f t="shared" si="5"/>
        <v>0</v>
      </c>
      <c r="I228" s="8"/>
      <c r="J228" s="20"/>
    </row>
    <row r="229" spans="2:10" x14ac:dyDescent="0.2">
      <c r="B229"/>
      <c r="C229" s="88"/>
      <c r="D229" s="88"/>
      <c r="E229" s="88"/>
      <c r="F229" s="88"/>
      <c r="G229" s="128"/>
      <c r="H229" s="129">
        <f t="shared" si="5"/>
        <v>0</v>
      </c>
      <c r="I229" s="8"/>
      <c r="J229" s="20"/>
    </row>
    <row r="230" spans="2:10" x14ac:dyDescent="0.2">
      <c r="B230"/>
      <c r="C230" s="88"/>
      <c r="D230" s="88"/>
      <c r="E230" s="88"/>
      <c r="F230" s="88"/>
      <c r="G230" s="128"/>
      <c r="H230" s="129">
        <f t="shared" si="5"/>
        <v>0</v>
      </c>
      <c r="I230" s="8"/>
      <c r="J230" s="20"/>
    </row>
    <row r="231" spans="2:10" x14ac:dyDescent="0.2">
      <c r="B231"/>
      <c r="C231" s="88"/>
      <c r="D231" s="88"/>
      <c r="E231" s="88"/>
      <c r="F231" s="88"/>
      <c r="G231" s="128"/>
      <c r="H231" s="129">
        <f t="shared" si="5"/>
        <v>0</v>
      </c>
      <c r="I231" s="8"/>
      <c r="J231" s="20"/>
    </row>
    <row r="232" spans="2:10" x14ac:dyDescent="0.2">
      <c r="B232"/>
      <c r="C232" s="88"/>
      <c r="D232" s="88"/>
      <c r="E232" s="88"/>
      <c r="F232" s="88"/>
      <c r="G232" s="128"/>
      <c r="H232" s="129">
        <f t="shared" si="5"/>
        <v>0</v>
      </c>
      <c r="I232" s="8"/>
      <c r="J232" s="20"/>
    </row>
    <row r="233" spans="2:10" x14ac:dyDescent="0.2">
      <c r="B233"/>
      <c r="C233" s="88"/>
      <c r="D233" s="88"/>
      <c r="E233" s="88"/>
      <c r="F233" s="88"/>
      <c r="G233" s="128"/>
      <c r="H233" s="129">
        <f t="shared" si="5"/>
        <v>0</v>
      </c>
      <c r="I233" s="8"/>
      <c r="J233" s="20"/>
    </row>
    <row r="234" spans="2:10" x14ac:dyDescent="0.2">
      <c r="B234"/>
      <c r="C234" s="88"/>
      <c r="D234" s="88"/>
      <c r="E234" s="88"/>
      <c r="F234" s="88"/>
      <c r="G234" s="128"/>
      <c r="H234" s="129">
        <f t="shared" si="5"/>
        <v>0</v>
      </c>
      <c r="I234" s="8"/>
      <c r="J234" s="20"/>
    </row>
    <row r="235" spans="2:10" x14ac:dyDescent="0.2">
      <c r="B235"/>
      <c r="C235" s="88"/>
      <c r="D235" s="88"/>
      <c r="E235" s="88"/>
      <c r="F235" s="88"/>
      <c r="G235" s="128"/>
      <c r="H235" s="129">
        <f t="shared" si="5"/>
        <v>0</v>
      </c>
      <c r="I235" s="8"/>
      <c r="J235" s="20"/>
    </row>
    <row r="236" spans="2:10" x14ac:dyDescent="0.2">
      <c r="B236"/>
      <c r="C236" s="88"/>
      <c r="D236" s="88"/>
      <c r="E236" s="88"/>
      <c r="F236" s="88"/>
      <c r="G236" s="128"/>
      <c r="H236" s="129">
        <f t="shared" si="5"/>
        <v>0</v>
      </c>
      <c r="I236" s="8"/>
      <c r="J236" s="20"/>
    </row>
    <row r="237" spans="2:10" x14ac:dyDescent="0.2">
      <c r="B237"/>
      <c r="C237" s="74"/>
      <c r="D237" s="74"/>
      <c r="E237" s="74"/>
      <c r="F237" s="74"/>
      <c r="G237" s="74"/>
      <c r="H237" s="130"/>
      <c r="I237" s="8"/>
      <c r="J237" s="20"/>
    </row>
    <row r="238" spans="2:10" ht="13.5" thickBot="1" x14ac:dyDescent="0.25">
      <c r="B238"/>
      <c r="C238" s="74" t="s">
        <v>103</v>
      </c>
      <c r="D238" s="76"/>
      <c r="E238" s="74"/>
      <c r="F238" s="17"/>
      <c r="G238" s="78" t="s">
        <v>111</v>
      </c>
      <c r="H238" s="131">
        <f>SUM(H217:H236)</f>
        <v>0</v>
      </c>
      <c r="I238" s="8"/>
      <c r="J238" s="20"/>
    </row>
    <row r="239" spans="2:10" x14ac:dyDescent="0.2">
      <c r="B239"/>
      <c r="C239" s="17"/>
      <c r="D239" s="17"/>
      <c r="E239" s="17"/>
      <c r="F239" s="17"/>
      <c r="G239"/>
      <c r="H239"/>
      <c r="I239" s="8"/>
      <c r="J239" s="20"/>
    </row>
    <row r="240" spans="2:10" x14ac:dyDescent="0.2">
      <c r="B240"/>
      <c r="C240" s="17"/>
      <c r="D240" s="17"/>
      <c r="E240" s="17"/>
      <c r="F240" s="152" t="s">
        <v>109</v>
      </c>
      <c r="G240" s="151"/>
      <c r="H240" s="155"/>
      <c r="I240" s="8"/>
      <c r="J240" s="20"/>
    </row>
    <row r="241" spans="2:10" x14ac:dyDescent="0.2">
      <c r="B241"/>
      <c r="C241" s="17"/>
      <c r="D241" s="17"/>
      <c r="E241" s="17"/>
      <c r="F241" s="152" t="s">
        <v>53</v>
      </c>
      <c r="G241" s="151"/>
      <c r="H241" s="155"/>
      <c r="I241" s="8"/>
      <c r="J241" s="20"/>
    </row>
    <row r="242" spans="2:10" x14ac:dyDescent="0.2">
      <c r="B242"/>
      <c r="C242" s="17"/>
      <c r="D242" s="17"/>
      <c r="E242" s="17"/>
      <c r="F242" s="152" t="s">
        <v>108</v>
      </c>
      <c r="G242" s="151"/>
      <c r="H242" s="155"/>
      <c r="I242" s="8"/>
      <c r="J242" s="20"/>
    </row>
    <row r="243" spans="2:10" x14ac:dyDescent="0.2">
      <c r="B243"/>
      <c r="C243" s="17"/>
      <c r="D243" s="17"/>
      <c r="E243" s="17"/>
      <c r="F243" s="152" t="s">
        <v>110</v>
      </c>
      <c r="G243" s="151"/>
      <c r="H243" s="159">
        <f>H238*0.075</f>
        <v>0</v>
      </c>
      <c r="I243" s="8"/>
      <c r="J243" s="20"/>
    </row>
    <row r="244" spans="2:10" x14ac:dyDescent="0.2">
      <c r="B244"/>
      <c r="C244" s="17"/>
      <c r="D244" s="17"/>
      <c r="E244" s="17"/>
      <c r="F244" s="154"/>
      <c r="G244" s="150"/>
      <c r="H244" s="150"/>
      <c r="I244" s="8"/>
      <c r="J244" s="20"/>
    </row>
    <row r="245" spans="2:10" ht="13.5" thickBot="1" x14ac:dyDescent="0.25">
      <c r="B245"/>
      <c r="C245" s="17"/>
      <c r="D245" s="17"/>
      <c r="E245" s="17"/>
      <c r="F245" s="77" t="s">
        <v>130</v>
      </c>
      <c r="G245" s="78"/>
      <c r="H245" s="131">
        <f>SUM(H238:H243)</f>
        <v>0</v>
      </c>
      <c r="I245" s="8"/>
      <c r="J245" s="20"/>
    </row>
    <row r="246" spans="2:10" x14ac:dyDescent="0.2">
      <c r="B246"/>
      <c r="C246" s="17"/>
      <c r="D246" s="17"/>
      <c r="E246" s="17"/>
      <c r="F246" s="17"/>
      <c r="G246"/>
      <c r="H246"/>
      <c r="I246" s="8"/>
      <c r="J246" s="20"/>
    </row>
    <row r="247" spans="2:10" hidden="1" x14ac:dyDescent="0.2">
      <c r="B247"/>
      <c r="C247" s="17"/>
      <c r="D247" s="17"/>
      <c r="E247" s="17"/>
      <c r="F247" s="17"/>
      <c r="G247"/>
      <c r="H247"/>
      <c r="I247" s="8"/>
      <c r="J247" s="20"/>
    </row>
    <row r="248" spans="2:10" hidden="1" x14ac:dyDescent="0.2">
      <c r="B248"/>
      <c r="C248" s="17"/>
      <c r="D248" s="17"/>
      <c r="E248" s="17"/>
      <c r="F248" s="17"/>
      <c r="G248"/>
      <c r="H248"/>
      <c r="I248" s="8"/>
      <c r="J248" s="20"/>
    </row>
    <row r="249" spans="2:10" ht="15.75" hidden="1" x14ac:dyDescent="0.2">
      <c r="B249"/>
      <c r="C249" s="93" t="s">
        <v>107</v>
      </c>
      <c r="D249" s="75"/>
      <c r="E249" s="75"/>
      <c r="F249" s="75"/>
      <c r="G249" s="85"/>
      <c r="H249" s="85"/>
      <c r="I249" s="8"/>
      <c r="J249" s="20"/>
    </row>
    <row r="250" spans="2:10" ht="7.5" hidden="1" customHeight="1" thickBot="1" x14ac:dyDescent="0.25">
      <c r="B250"/>
      <c r="C250" s="82"/>
      <c r="D250" s="83"/>
      <c r="E250" s="83"/>
      <c r="F250" s="83"/>
      <c r="G250" s="3"/>
      <c r="H250" s="3"/>
      <c r="I250" s="8"/>
      <c r="J250" s="20"/>
    </row>
    <row r="251" spans="2:10" hidden="1" x14ac:dyDescent="0.2">
      <c r="B251"/>
      <c r="C251" s="80" t="s">
        <v>103</v>
      </c>
      <c r="D251" s="80" t="s">
        <v>4</v>
      </c>
      <c r="E251" s="80" t="s">
        <v>101</v>
      </c>
      <c r="F251" s="81" t="s">
        <v>0</v>
      </c>
      <c r="G251" s="81" t="s">
        <v>5</v>
      </c>
      <c r="H251" s="81" t="s">
        <v>102</v>
      </c>
      <c r="I251" s="8"/>
      <c r="J251" s="20"/>
    </row>
    <row r="252" spans="2:10" hidden="1" x14ac:dyDescent="0.2">
      <c r="B252"/>
      <c r="C252" s="133">
        <v>99990132</v>
      </c>
      <c r="D252" s="135"/>
      <c r="E252" s="133" t="s">
        <v>109</v>
      </c>
      <c r="F252" s="87"/>
      <c r="G252" s="87"/>
      <c r="H252" s="129">
        <f>F252*G252</f>
        <v>0</v>
      </c>
      <c r="I252" s="8"/>
      <c r="J252" s="20"/>
    </row>
    <row r="253" spans="2:10" hidden="1" x14ac:dyDescent="0.2">
      <c r="B253"/>
      <c r="C253" s="133">
        <v>12080014</v>
      </c>
      <c r="D253" s="135"/>
      <c r="E253" s="133" t="s">
        <v>53</v>
      </c>
      <c r="F253" s="87"/>
      <c r="G253" s="87"/>
      <c r="H253" s="129">
        <f t="shared" ref="H253:H269" si="6">F253*G253</f>
        <v>0</v>
      </c>
      <c r="I253" s="8"/>
      <c r="J253" s="20"/>
    </row>
    <row r="254" spans="2:10" hidden="1" x14ac:dyDescent="0.2">
      <c r="B254"/>
      <c r="C254" s="134">
        <v>99990167</v>
      </c>
      <c r="D254" s="136"/>
      <c r="E254" s="133" t="s">
        <v>108</v>
      </c>
      <c r="F254" s="94"/>
      <c r="G254" s="128"/>
      <c r="H254" s="129">
        <f t="shared" si="6"/>
        <v>0</v>
      </c>
      <c r="I254" s="8"/>
      <c r="J254" s="20"/>
    </row>
    <row r="255" spans="2:10" hidden="1" x14ac:dyDescent="0.2">
      <c r="B255"/>
      <c r="C255" s="88"/>
      <c r="D255" s="88"/>
      <c r="E255" s="88"/>
      <c r="F255" s="88"/>
      <c r="G255" s="89"/>
      <c r="H255" s="129">
        <f t="shared" si="6"/>
        <v>0</v>
      </c>
      <c r="I255" s="8"/>
      <c r="J255" s="20"/>
    </row>
    <row r="256" spans="2:10" ht="13.5" hidden="1" thickBot="1" x14ac:dyDescent="0.25">
      <c r="B256"/>
      <c r="C256"/>
      <c r="D256"/>
      <c r="E256"/>
      <c r="F256"/>
      <c r="G256" s="96" t="s">
        <v>111</v>
      </c>
      <c r="H256" s="132">
        <f>SUM(H252:H255)</f>
        <v>0</v>
      </c>
      <c r="I256" s="8"/>
      <c r="J256" s="20"/>
    </row>
    <row r="257" spans="2:10" hidden="1" x14ac:dyDescent="0.2">
      <c r="B257"/>
      <c r="C257"/>
      <c r="D257"/>
      <c r="E257"/>
      <c r="F257"/>
      <c r="G257"/>
      <c r="H257"/>
      <c r="I257" s="8"/>
      <c r="J257" s="20"/>
    </row>
    <row r="258" spans="2:10" hidden="1" x14ac:dyDescent="0.2">
      <c r="B258"/>
      <c r="C258"/>
      <c r="D258"/>
      <c r="E258"/>
      <c r="F258"/>
      <c r="G258"/>
      <c r="H258"/>
      <c r="I258" s="8"/>
      <c r="J258" s="20"/>
    </row>
    <row r="259" spans="2:10" hidden="1" x14ac:dyDescent="0.2">
      <c r="B259"/>
      <c r="C259"/>
      <c r="D259"/>
      <c r="E259"/>
      <c r="F259"/>
      <c r="G259"/>
      <c r="H259">
        <f>F92-H256</f>
        <v>0</v>
      </c>
      <c r="I259" s="8"/>
      <c r="J259" s="20"/>
    </row>
    <row r="260" spans="2:10" hidden="1" x14ac:dyDescent="0.2">
      <c r="B260"/>
      <c r="C260"/>
      <c r="D260"/>
      <c r="E260"/>
      <c r="F260"/>
      <c r="G260"/>
      <c r="H260">
        <f>H259*0.075</f>
        <v>0</v>
      </c>
      <c r="I260" s="8"/>
      <c r="J260" s="20"/>
    </row>
    <row r="261" spans="2:10" hidden="1" x14ac:dyDescent="0.2">
      <c r="B261"/>
      <c r="C261"/>
      <c r="D261"/>
      <c r="E261"/>
      <c r="F261"/>
      <c r="G261"/>
      <c r="H261"/>
      <c r="I261" s="8"/>
      <c r="J261" s="20"/>
    </row>
    <row r="262" spans="2:10" hidden="1" x14ac:dyDescent="0.2">
      <c r="B262"/>
      <c r="C262"/>
      <c r="D262"/>
      <c r="E262"/>
      <c r="F262"/>
      <c r="G262"/>
      <c r="H262"/>
      <c r="I262" s="8"/>
      <c r="J262" s="20"/>
    </row>
    <row r="263" spans="2:10" hidden="1" x14ac:dyDescent="0.2">
      <c r="B263"/>
      <c r="C263" s="88"/>
      <c r="D263" s="88"/>
      <c r="E263" s="88"/>
      <c r="F263" s="88"/>
      <c r="G263" s="89"/>
      <c r="H263" s="79"/>
      <c r="I263" s="8"/>
      <c r="J263" s="20"/>
    </row>
    <row r="264" spans="2:10" hidden="1" x14ac:dyDescent="0.2">
      <c r="B264"/>
      <c r="C264" s="88">
        <v>12080015</v>
      </c>
      <c r="D264" s="88"/>
      <c r="E264" s="88" t="s">
        <v>110</v>
      </c>
      <c r="F264" s="94">
        <v>1</v>
      </c>
      <c r="G264" s="89">
        <f>H260</f>
        <v>0</v>
      </c>
      <c r="H264" s="79">
        <f t="shared" si="6"/>
        <v>0</v>
      </c>
      <c r="I264" s="8"/>
      <c r="J264" s="20"/>
    </row>
    <row r="265" spans="2:10" hidden="1" x14ac:dyDescent="0.2">
      <c r="B265"/>
      <c r="C265" s="88"/>
      <c r="D265" s="88"/>
      <c r="E265" s="88"/>
      <c r="F265" s="88"/>
      <c r="G265" s="89"/>
      <c r="H265" s="79">
        <f t="shared" si="6"/>
        <v>0</v>
      </c>
      <c r="I265" s="8"/>
      <c r="J265" s="20"/>
    </row>
    <row r="266" spans="2:10" hidden="1" x14ac:dyDescent="0.2">
      <c r="B266"/>
      <c r="C266" s="88"/>
      <c r="D266" s="88"/>
      <c r="E266" s="88"/>
      <c r="F266" s="88"/>
      <c r="G266" s="89"/>
      <c r="H266" s="79">
        <f t="shared" si="6"/>
        <v>0</v>
      </c>
      <c r="I266" s="8"/>
      <c r="J266" s="20"/>
    </row>
    <row r="267" spans="2:10" hidden="1" x14ac:dyDescent="0.2">
      <c r="B267"/>
      <c r="C267" s="88"/>
      <c r="D267" s="88"/>
      <c r="E267" s="88"/>
      <c r="F267" s="88"/>
      <c r="G267" s="89"/>
      <c r="H267" s="79">
        <f t="shared" si="6"/>
        <v>0</v>
      </c>
      <c r="I267" s="8"/>
      <c r="J267" s="20"/>
    </row>
    <row r="268" spans="2:10" hidden="1" x14ac:dyDescent="0.2">
      <c r="B268"/>
      <c r="C268" s="88"/>
      <c r="D268" s="88"/>
      <c r="E268" s="88"/>
      <c r="F268" s="88"/>
      <c r="G268" s="89"/>
      <c r="H268" s="79">
        <f t="shared" si="6"/>
        <v>0</v>
      </c>
      <c r="I268" s="8"/>
      <c r="J268" s="20"/>
    </row>
    <row r="269" spans="2:10" hidden="1" x14ac:dyDescent="0.2">
      <c r="B269"/>
      <c r="C269" s="88"/>
      <c r="D269" s="88"/>
      <c r="E269" s="88"/>
      <c r="F269" s="88"/>
      <c r="G269" s="89"/>
      <c r="H269" s="79">
        <f t="shared" si="6"/>
        <v>0</v>
      </c>
      <c r="I269" s="8"/>
      <c r="J269" s="20"/>
    </row>
    <row r="270" spans="2:10" hidden="1" x14ac:dyDescent="0.2">
      <c r="B270"/>
      <c r="C270" s="74"/>
      <c r="D270" s="74"/>
      <c r="E270" s="74"/>
      <c r="F270" s="74"/>
      <c r="G270" s="74"/>
      <c r="H270" s="74"/>
      <c r="I270" s="8"/>
      <c r="J270" s="20"/>
    </row>
    <row r="271" spans="2:10" hidden="1" x14ac:dyDescent="0.2">
      <c r="B271"/>
      <c r="C271" s="18"/>
      <c r="D271" s="18"/>
      <c r="E271" s="18"/>
      <c r="F271" s="18"/>
      <c r="G271" s="18"/>
      <c r="H271" s="18"/>
      <c r="I271" s="8"/>
    </row>
    <row r="272" spans="2:10" x14ac:dyDescent="0.2">
      <c r="B272"/>
      <c r="C272" s="18"/>
      <c r="D272" s="18"/>
      <c r="E272" s="18"/>
      <c r="F272" s="18"/>
      <c r="G272"/>
      <c r="H272" s="95"/>
      <c r="I272" s="8"/>
    </row>
    <row r="273" spans="2:9" ht="25.5" hidden="1" x14ac:dyDescent="0.2">
      <c r="B273"/>
      <c r="C273" s="100" t="s">
        <v>114</v>
      </c>
      <c r="D273" s="101" t="s">
        <v>113</v>
      </c>
      <c r="E273" s="101" t="s">
        <v>118</v>
      </c>
      <c r="F273" s="101" t="s">
        <v>117</v>
      </c>
      <c r="G273" s="102" t="s">
        <v>116</v>
      </c>
      <c r="H273" s="103" t="s">
        <v>115</v>
      </c>
      <c r="I273" s="8"/>
    </row>
    <row r="274" spans="2:9" hidden="1" x14ac:dyDescent="0.2">
      <c r="B274"/>
      <c r="C274" s="104" t="s">
        <v>100</v>
      </c>
      <c r="D274" s="105">
        <f>D131</f>
        <v>0</v>
      </c>
      <c r="E274" s="106">
        <f>H131</f>
        <v>77201</v>
      </c>
      <c r="F274" s="107">
        <f>E274/SUM($E$274:$E$277)</f>
        <v>1</v>
      </c>
      <c r="G274" s="108">
        <f>F274*$E$284</f>
        <v>0</v>
      </c>
      <c r="H274" s="114">
        <f>E274-G274</f>
        <v>77201</v>
      </c>
      <c r="I274" s="8"/>
    </row>
    <row r="275" spans="2:9" hidden="1" x14ac:dyDescent="0.2">
      <c r="B275"/>
      <c r="C275" s="104" t="s">
        <v>104</v>
      </c>
      <c r="D275" s="105">
        <f>D168</f>
        <v>0</v>
      </c>
      <c r="E275" s="106">
        <f>H168</f>
        <v>0</v>
      </c>
      <c r="F275" s="107">
        <f>E275/SUM($E$274:$E$277)</f>
        <v>0</v>
      </c>
      <c r="G275" s="108">
        <f>F275*$E$284</f>
        <v>0</v>
      </c>
      <c r="H275" s="114">
        <f t="shared" ref="H275:H277" si="7">E275-G275</f>
        <v>0</v>
      </c>
      <c r="I275" s="8"/>
    </row>
    <row r="276" spans="2:9" hidden="1" x14ac:dyDescent="0.2">
      <c r="B276"/>
      <c r="C276" s="104" t="s">
        <v>105</v>
      </c>
      <c r="D276" s="105">
        <f>D205</f>
        <v>0</v>
      </c>
      <c r="E276" s="106">
        <f>H205</f>
        <v>0</v>
      </c>
      <c r="F276" s="107">
        <f>E276/SUM($E$274:$E$277)</f>
        <v>0</v>
      </c>
      <c r="G276" s="108">
        <f>F276*$E$284</f>
        <v>0</v>
      </c>
      <c r="H276" s="114">
        <f t="shared" si="7"/>
        <v>0</v>
      </c>
      <c r="I276" s="8"/>
    </row>
    <row r="277" spans="2:9" hidden="1" x14ac:dyDescent="0.2">
      <c r="B277"/>
      <c r="C277" s="104" t="s">
        <v>106</v>
      </c>
      <c r="D277" s="105">
        <f>D238</f>
        <v>0</v>
      </c>
      <c r="E277" s="106">
        <f>H238</f>
        <v>0</v>
      </c>
      <c r="F277" s="107">
        <f>E277/SUM($E$274:$E$277)</f>
        <v>0</v>
      </c>
      <c r="G277" s="108">
        <f>F277*$E$284</f>
        <v>0</v>
      </c>
      <c r="H277" s="114">
        <f t="shared" si="7"/>
        <v>0</v>
      </c>
      <c r="I277" s="8"/>
    </row>
    <row r="278" spans="2:9" ht="25.5" hidden="1" x14ac:dyDescent="0.2">
      <c r="B278"/>
      <c r="C278" s="104" t="str">
        <f>E252</f>
        <v>Installation, Training Commissioning</v>
      </c>
      <c r="D278" s="105">
        <f>C252</f>
        <v>99990132</v>
      </c>
      <c r="E278" s="105"/>
      <c r="F278" s="105"/>
      <c r="G278" s="105"/>
      <c r="H278" s="115">
        <f>H252</f>
        <v>0</v>
      </c>
      <c r="I278" s="8"/>
    </row>
    <row r="279" spans="2:9" hidden="1" x14ac:dyDescent="0.2">
      <c r="B279"/>
      <c r="C279" s="104" t="str">
        <f>E253</f>
        <v>QC</v>
      </c>
      <c r="D279" s="105">
        <f>C253</f>
        <v>12080014</v>
      </c>
      <c r="E279" s="105"/>
      <c r="F279" s="105"/>
      <c r="G279" s="105"/>
      <c r="H279" s="115">
        <f>H253</f>
        <v>0</v>
      </c>
      <c r="I279" s="8"/>
    </row>
    <row r="280" spans="2:9" ht="25.5" hidden="1" x14ac:dyDescent="0.2">
      <c r="B280"/>
      <c r="C280" s="104" t="str">
        <f>E254</f>
        <v>Travel &amp; Accomodation</v>
      </c>
      <c r="D280" s="105">
        <f>C254</f>
        <v>99990167</v>
      </c>
      <c r="E280" s="105"/>
      <c r="F280" s="105"/>
      <c r="G280" s="109"/>
      <c r="H280" s="115">
        <f>H254</f>
        <v>0</v>
      </c>
      <c r="I280" s="8"/>
    </row>
    <row r="281" spans="2:9" ht="13.5" hidden="1" thickBot="1" x14ac:dyDescent="0.25">
      <c r="B281"/>
      <c r="C281" s="110" t="str">
        <f>E264</f>
        <v>Project Management</v>
      </c>
      <c r="D281" s="111">
        <f>C264</f>
        <v>12080015</v>
      </c>
      <c r="E281" s="111"/>
      <c r="F281" s="111"/>
      <c r="G281" s="112"/>
      <c r="H281" s="116">
        <f>G264</f>
        <v>0</v>
      </c>
      <c r="I281" s="8"/>
    </row>
    <row r="282" spans="2:9" hidden="1" x14ac:dyDescent="0.2">
      <c r="B282"/>
      <c r="C282" s="97"/>
      <c r="D282" s="97"/>
      <c r="E282" s="97"/>
      <c r="F282" s="97"/>
      <c r="G282" s="98"/>
      <c r="H282" s="117"/>
      <c r="I282" s="8"/>
    </row>
    <row r="283" spans="2:9" ht="13.5" hidden="1" thickBot="1" x14ac:dyDescent="0.25">
      <c r="B283"/>
      <c r="C283" s="97"/>
      <c r="D283" s="97"/>
      <c r="E283" s="97"/>
      <c r="F283" s="118"/>
      <c r="G283" s="119" t="s">
        <v>119</v>
      </c>
      <c r="H283" s="120">
        <f>SUM(H274:H281)</f>
        <v>77201</v>
      </c>
      <c r="I283" s="8"/>
    </row>
    <row r="284" spans="2:9" ht="13.5" hidden="1" thickTop="1" x14ac:dyDescent="0.2">
      <c r="B284"/>
      <c r="C284" s="97"/>
      <c r="D284" s="97"/>
      <c r="E284" s="99">
        <f>SUM(H281)</f>
        <v>0</v>
      </c>
      <c r="F284" s="97"/>
      <c r="G284" s="98"/>
      <c r="H284"/>
      <c r="I284" s="8"/>
    </row>
    <row r="285" spans="2:9" x14ac:dyDescent="0.2">
      <c r="B285"/>
      <c r="C285" s="97"/>
      <c r="D285" s="97"/>
      <c r="E285" s="97"/>
      <c r="F285" s="97"/>
      <c r="G285" s="98"/>
      <c r="H285"/>
      <c r="I285" s="8"/>
    </row>
    <row r="286" spans="2:9" x14ac:dyDescent="0.2">
      <c r="B286"/>
      <c r="C286" s="97"/>
      <c r="D286" s="97"/>
      <c r="E286" s="97"/>
      <c r="F286" s="97"/>
      <c r="G286" s="98"/>
      <c r="H286"/>
      <c r="I286" s="8"/>
    </row>
    <row r="287" spans="2:9" ht="16.5" thickBot="1" x14ac:dyDescent="0.25">
      <c r="B287"/>
      <c r="C287" s="124" t="s">
        <v>120</v>
      </c>
      <c r="D287" s="121"/>
      <c r="E287" s="121"/>
      <c r="F287" s="121"/>
      <c r="G287" s="122"/>
      <c r="H287" s="3"/>
      <c r="I287" s="8"/>
    </row>
    <row r="288" spans="2:9" ht="13.5" thickBot="1" x14ac:dyDescent="0.25">
      <c r="B288"/>
      <c r="C288" s="97"/>
      <c r="D288" s="97"/>
      <c r="E288" s="97"/>
      <c r="F288" s="97"/>
      <c r="G288" s="98"/>
      <c r="H288"/>
      <c r="I288" s="8"/>
    </row>
    <row r="289" spans="2:9" ht="26.25" thickBot="1" x14ac:dyDescent="0.25">
      <c r="B289"/>
      <c r="C289" s="125" t="s">
        <v>114</v>
      </c>
      <c r="D289" s="126" t="s">
        <v>113</v>
      </c>
      <c r="E289" s="127" t="s">
        <v>115</v>
      </c>
      <c r="F289" s="97"/>
      <c r="G289" s="98"/>
      <c r="H289"/>
      <c r="I289" s="8"/>
    </row>
    <row r="290" spans="2:9" x14ac:dyDescent="0.2">
      <c r="B290"/>
      <c r="C290" s="142" t="str">
        <f>C274</f>
        <v>Assembly 1</v>
      </c>
      <c r="D290" s="143">
        <f t="shared" ref="D290:D297" si="8">D274</f>
        <v>0</v>
      </c>
      <c r="E290" s="139">
        <f>H131</f>
        <v>77201</v>
      </c>
      <c r="F290" s="97"/>
      <c r="G290" s="98"/>
      <c r="H290"/>
      <c r="I290" s="8"/>
    </row>
    <row r="291" spans="2:9" x14ac:dyDescent="0.2">
      <c r="B291"/>
      <c r="C291" s="144" t="str">
        <f t="shared" ref="C291" si="9">C275</f>
        <v>Assembly 2</v>
      </c>
      <c r="D291" s="145">
        <f t="shared" si="8"/>
        <v>0</v>
      </c>
      <c r="E291" s="140">
        <f>H168</f>
        <v>0</v>
      </c>
      <c r="F291" s="97"/>
      <c r="G291" s="98"/>
      <c r="H291"/>
      <c r="I291" s="8"/>
    </row>
    <row r="292" spans="2:9" x14ac:dyDescent="0.2">
      <c r="B292"/>
      <c r="C292" s="144" t="str">
        <f t="shared" ref="C292" si="10">C276</f>
        <v>Assembly 3</v>
      </c>
      <c r="D292" s="145">
        <f t="shared" si="8"/>
        <v>0</v>
      </c>
      <c r="E292" s="140">
        <f>H205</f>
        <v>0</v>
      </c>
      <c r="F292" s="97"/>
      <c r="G292" s="98"/>
      <c r="H292"/>
      <c r="I292" s="8"/>
    </row>
    <row r="293" spans="2:9" x14ac:dyDescent="0.2">
      <c r="B293"/>
      <c r="C293" s="144" t="str">
        <f t="shared" ref="C293" si="11">C277</f>
        <v>Assembly 4</v>
      </c>
      <c r="D293" s="145">
        <f t="shared" si="8"/>
        <v>0</v>
      </c>
      <c r="E293" s="140">
        <f>H238</f>
        <v>0</v>
      </c>
      <c r="F293" s="18"/>
      <c r="G293"/>
      <c r="H293"/>
      <c r="I293" s="8"/>
    </row>
    <row r="294" spans="2:9" ht="25.5" x14ac:dyDescent="0.2">
      <c r="B294"/>
      <c r="C294" s="144" t="str">
        <f t="shared" ref="C294" si="12">C278</f>
        <v>Installation, Training Commissioning</v>
      </c>
      <c r="D294" s="145">
        <f t="shared" si="8"/>
        <v>99990132</v>
      </c>
      <c r="E294" s="140">
        <f>SUM(H133,H170,H207,H240)</f>
        <v>0</v>
      </c>
      <c r="F294" s="18"/>
      <c r="G294"/>
      <c r="H294"/>
      <c r="I294" s="8"/>
    </row>
    <row r="295" spans="2:9" x14ac:dyDescent="0.2">
      <c r="B295"/>
      <c r="C295" s="144" t="str">
        <f t="shared" ref="C295" si="13">C279</f>
        <v>QC</v>
      </c>
      <c r="D295" s="145">
        <f t="shared" si="8"/>
        <v>12080014</v>
      </c>
      <c r="E295" s="140">
        <f>SUM(H134,H171,H208,H241)</f>
        <v>0</v>
      </c>
      <c r="F295" s="18"/>
      <c r="G295"/>
      <c r="H295"/>
      <c r="I295" s="8"/>
    </row>
    <row r="296" spans="2:9" ht="25.5" x14ac:dyDescent="0.2">
      <c r="B296"/>
      <c r="C296" s="144" t="str">
        <f t="shared" ref="C296" si="14">C280</f>
        <v>Travel &amp; Accomodation</v>
      </c>
      <c r="D296" s="145">
        <f t="shared" si="8"/>
        <v>99990167</v>
      </c>
      <c r="E296" s="140">
        <f>SUM(H135,H172,H209,H242)</f>
        <v>0</v>
      </c>
      <c r="F296" s="18"/>
      <c r="G296"/>
      <c r="H296"/>
      <c r="I296" s="8"/>
    </row>
    <row r="297" spans="2:9" ht="13.5" thickBot="1" x14ac:dyDescent="0.25">
      <c r="B297"/>
      <c r="C297" s="146" t="str">
        <f t="shared" ref="C297" si="15">C281</f>
        <v>Project Management</v>
      </c>
      <c r="D297" s="147">
        <f t="shared" si="8"/>
        <v>12080015</v>
      </c>
      <c r="E297" s="141">
        <f>SUM(H136,H173,H210,H243)</f>
        <v>0</v>
      </c>
      <c r="F297" s="18"/>
      <c r="G297"/>
      <c r="H297"/>
      <c r="I297" s="8"/>
    </row>
    <row r="298" spans="2:9" x14ac:dyDescent="0.2">
      <c r="B298"/>
      <c r="C298" s="18"/>
      <c r="D298" s="18"/>
      <c r="E298" s="18"/>
      <c r="F298" s="18"/>
      <c r="G298"/>
      <c r="H298"/>
      <c r="I298" s="8"/>
    </row>
    <row r="299" spans="2:9" ht="13.5" thickBot="1" x14ac:dyDescent="0.25">
      <c r="B299"/>
      <c r="C299" s="18"/>
      <c r="D299" s="123" t="s">
        <v>119</v>
      </c>
      <c r="E299" s="138">
        <f>SUM(E290:E297)</f>
        <v>77201</v>
      </c>
      <c r="F299" s="18"/>
      <c r="G299"/>
      <c r="H299"/>
      <c r="I299" s="8"/>
    </row>
    <row r="300" spans="2:9" x14ac:dyDescent="0.2">
      <c r="B300"/>
      <c r="C300" s="18"/>
      <c r="D300" s="18"/>
      <c r="E300" s="18"/>
      <c r="F300" s="18"/>
      <c r="G300"/>
      <c r="H300"/>
      <c r="I300" s="8"/>
    </row>
    <row r="301" spans="2:9" x14ac:dyDescent="0.2">
      <c r="B301"/>
      <c r="C301" s="18"/>
      <c r="D301" s="18"/>
      <c r="E301" s="18"/>
      <c r="F301" s="18"/>
      <c r="G301"/>
      <c r="H301"/>
      <c r="I301" s="8"/>
    </row>
    <row r="302" spans="2:9" x14ac:dyDescent="0.2">
      <c r="B302"/>
      <c r="C302" s="18"/>
      <c r="D302" s="18"/>
      <c r="E302" s="18"/>
      <c r="F302" s="18"/>
      <c r="G302"/>
      <c r="H302"/>
      <c r="I302" s="8"/>
    </row>
    <row r="303" spans="2:9" x14ac:dyDescent="0.2">
      <c r="B303"/>
      <c r="C303" s="18"/>
      <c r="D303" s="18"/>
      <c r="E303" s="18"/>
      <c r="F303" s="18"/>
      <c r="G303"/>
      <c r="H303"/>
      <c r="I303" s="8"/>
    </row>
    <row r="304" spans="2:9" x14ac:dyDescent="0.2">
      <c r="B304"/>
      <c r="C304" s="18"/>
      <c r="D304" s="18"/>
      <c r="E304" s="18"/>
      <c r="F304" s="18"/>
      <c r="G304"/>
      <c r="H304"/>
      <c r="I304" s="8"/>
    </row>
    <row r="305" spans="2:9" x14ac:dyDescent="0.2">
      <c r="B305"/>
      <c r="C305" s="18"/>
      <c r="D305" s="18"/>
      <c r="E305" s="18"/>
      <c r="F305" s="18"/>
      <c r="G305"/>
      <c r="H305"/>
      <c r="I305" s="8"/>
    </row>
    <row r="306" spans="2:9" x14ac:dyDescent="0.2">
      <c r="B306"/>
      <c r="C306" s="18"/>
      <c r="D306" s="18"/>
      <c r="E306" s="18"/>
      <c r="F306" s="18"/>
      <c r="G306"/>
      <c r="H306"/>
      <c r="I306" s="8"/>
    </row>
    <row r="307" spans="2:9" x14ac:dyDescent="0.2">
      <c r="B307"/>
      <c r="C307" s="18"/>
      <c r="D307" s="18"/>
      <c r="E307" s="18"/>
      <c r="F307" s="18"/>
      <c r="G307"/>
      <c r="H307"/>
      <c r="I307" s="8"/>
    </row>
    <row r="308" spans="2:9" x14ac:dyDescent="0.2">
      <c r="B308"/>
      <c r="C308" s="18"/>
      <c r="D308" s="18"/>
      <c r="E308" s="18"/>
      <c r="F308" s="18"/>
      <c r="G308"/>
      <c r="H308"/>
      <c r="I308" s="8"/>
    </row>
    <row r="309" spans="2:9" x14ac:dyDescent="0.2">
      <c r="B309"/>
      <c r="C309" s="18"/>
      <c r="D309" s="18"/>
      <c r="E309" s="18"/>
      <c r="F309" s="18"/>
      <c r="G309"/>
      <c r="H309"/>
      <c r="I309" s="8"/>
    </row>
    <row r="310" spans="2:9" x14ac:dyDescent="0.2">
      <c r="B310"/>
      <c r="C310" s="18"/>
      <c r="D310" s="18"/>
      <c r="E310" s="18"/>
      <c r="F310" s="18"/>
      <c r="G310"/>
      <c r="H310"/>
      <c r="I310" s="8"/>
    </row>
    <row r="311" spans="2:9" x14ac:dyDescent="0.2">
      <c r="B311"/>
      <c r="C311" s="18"/>
      <c r="D311" s="18"/>
      <c r="E311" s="18"/>
      <c r="F311" s="18"/>
      <c r="G311"/>
      <c r="H311"/>
      <c r="I311" s="8"/>
    </row>
    <row r="312" spans="2:9" x14ac:dyDescent="0.2">
      <c r="B312"/>
      <c r="C312" s="18"/>
      <c r="D312" s="18"/>
      <c r="E312" s="18"/>
      <c r="F312" s="18"/>
      <c r="G312"/>
      <c r="H312"/>
      <c r="I312" s="8"/>
    </row>
    <row r="313" spans="2:9" x14ac:dyDescent="0.2">
      <c r="B313"/>
      <c r="C313" s="18"/>
      <c r="D313" s="18"/>
      <c r="E313" s="18"/>
      <c r="F313" s="18"/>
      <c r="G313"/>
      <c r="H313"/>
      <c r="I313" s="8"/>
    </row>
    <row r="314" spans="2:9" x14ac:dyDescent="0.2">
      <c r="B314"/>
      <c r="C314" s="18"/>
      <c r="D314" s="18"/>
      <c r="E314" s="18"/>
      <c r="F314" s="18"/>
      <c r="G314"/>
      <c r="H314"/>
      <c r="I314" s="8"/>
    </row>
    <row r="315" spans="2:9" x14ac:dyDescent="0.2">
      <c r="B315"/>
      <c r="C315" s="18"/>
      <c r="D315" s="18"/>
      <c r="E315" s="18"/>
      <c r="F315" s="18"/>
      <c r="G315"/>
      <c r="H315"/>
      <c r="I315" s="8"/>
    </row>
    <row r="316" spans="2:9" x14ac:dyDescent="0.2">
      <c r="B316"/>
      <c r="C316" s="18"/>
      <c r="D316" s="18"/>
      <c r="E316" s="18"/>
      <c r="F316" s="18"/>
      <c r="G316"/>
      <c r="H316"/>
      <c r="I316" s="8"/>
    </row>
    <row r="317" spans="2:9" x14ac:dyDescent="0.2">
      <c r="B317"/>
      <c r="C317" s="18"/>
      <c r="D317" s="18"/>
      <c r="E317" s="18"/>
      <c r="F317" s="18"/>
      <c r="G317"/>
      <c r="H317"/>
      <c r="I317" s="8"/>
    </row>
    <row r="318" spans="2:9" x14ac:dyDescent="0.2">
      <c r="B318"/>
      <c r="C318" s="18"/>
      <c r="D318" s="18"/>
      <c r="E318" s="18"/>
      <c r="F318" s="18"/>
      <c r="G318"/>
      <c r="H318"/>
      <c r="I318" s="8"/>
    </row>
    <row r="319" spans="2:9" x14ac:dyDescent="0.2">
      <c r="B319"/>
      <c r="C319" s="18"/>
      <c r="D319" s="18"/>
      <c r="E319" s="18"/>
      <c r="F319" s="18"/>
      <c r="G319"/>
      <c r="H319"/>
      <c r="I319" s="8"/>
    </row>
    <row r="320" spans="2:9" x14ac:dyDescent="0.2">
      <c r="B320"/>
      <c r="C320" s="18"/>
      <c r="D320" s="18"/>
      <c r="E320" s="18"/>
      <c r="F320" s="18"/>
      <c r="G320"/>
      <c r="H320"/>
      <c r="I320" s="8"/>
    </row>
    <row r="321" spans="2:9" x14ac:dyDescent="0.2">
      <c r="B321"/>
      <c r="C321" s="18"/>
      <c r="D321" s="18"/>
      <c r="E321" s="18"/>
      <c r="F321" s="18"/>
      <c r="G321"/>
      <c r="H321"/>
      <c r="I321" s="8"/>
    </row>
    <row r="322" spans="2:9" x14ac:dyDescent="0.2">
      <c r="B322"/>
      <c r="C322" s="18"/>
      <c r="D322" s="18"/>
      <c r="E322" s="18"/>
      <c r="F322" s="18"/>
      <c r="G322"/>
      <c r="H322"/>
      <c r="I322" s="8"/>
    </row>
    <row r="323" spans="2:9" x14ac:dyDescent="0.2">
      <c r="B323"/>
      <c r="C323" s="18"/>
      <c r="D323" s="18"/>
      <c r="E323" s="18"/>
      <c r="F323" s="18"/>
      <c r="G323"/>
      <c r="H323"/>
      <c r="I323" s="8"/>
    </row>
    <row r="324" spans="2:9" x14ac:dyDescent="0.2">
      <c r="B324"/>
      <c r="C324" s="18"/>
      <c r="D324" s="18"/>
      <c r="E324" s="18"/>
      <c r="F324" s="18"/>
      <c r="G324"/>
      <c r="H324"/>
      <c r="I324" s="8"/>
    </row>
    <row r="325" spans="2:9" x14ac:dyDescent="0.2">
      <c r="B325"/>
      <c r="C325" s="18"/>
      <c r="D325" s="18"/>
      <c r="E325" s="18"/>
      <c r="F325" s="18"/>
      <c r="G325"/>
      <c r="H325"/>
      <c r="I325" s="8"/>
    </row>
    <row r="326" spans="2:9" x14ac:dyDescent="0.2">
      <c r="B326"/>
      <c r="C326" s="18"/>
      <c r="D326" s="18"/>
      <c r="E326" s="18"/>
      <c r="F326" s="18"/>
      <c r="G326"/>
      <c r="H326"/>
      <c r="I326" s="8"/>
    </row>
    <row r="327" spans="2:9" x14ac:dyDescent="0.2">
      <c r="B327"/>
      <c r="C327" s="18"/>
      <c r="D327" s="18"/>
      <c r="E327" s="18"/>
      <c r="F327" s="18"/>
      <c r="G327"/>
      <c r="H327"/>
      <c r="I327" s="8"/>
    </row>
    <row r="328" spans="2:9" x14ac:dyDescent="0.2">
      <c r="B328"/>
      <c r="C328" s="18"/>
      <c r="D328" s="18"/>
      <c r="E328" s="18"/>
      <c r="F328" s="18"/>
      <c r="G328"/>
      <c r="H328"/>
      <c r="I328" s="8"/>
    </row>
    <row r="329" spans="2:9" x14ac:dyDescent="0.2">
      <c r="B329"/>
      <c r="C329" s="18"/>
      <c r="D329" s="18"/>
      <c r="E329" s="18"/>
      <c r="F329" s="18"/>
      <c r="G329"/>
      <c r="H329"/>
      <c r="I329" s="8"/>
    </row>
    <row r="330" spans="2:9" x14ac:dyDescent="0.2">
      <c r="B330"/>
      <c r="C330" s="18"/>
      <c r="D330" s="18"/>
      <c r="E330" s="18"/>
      <c r="F330" s="18"/>
      <c r="G330"/>
      <c r="H330"/>
      <c r="I330" s="8"/>
    </row>
    <row r="331" spans="2:9" x14ac:dyDescent="0.2">
      <c r="B331"/>
      <c r="C331" s="18"/>
      <c r="D331" s="18"/>
      <c r="E331" s="18"/>
      <c r="F331" s="18"/>
      <c r="G331"/>
      <c r="H331"/>
      <c r="I331" s="8"/>
    </row>
    <row r="332" spans="2:9" x14ac:dyDescent="0.2">
      <c r="B332"/>
      <c r="C332" s="18"/>
      <c r="D332" s="18"/>
      <c r="E332" s="18"/>
      <c r="F332" s="18"/>
      <c r="G332"/>
      <c r="H332"/>
      <c r="I332" s="8"/>
    </row>
    <row r="333" spans="2:9" x14ac:dyDescent="0.2">
      <c r="B333"/>
      <c r="C333" s="18"/>
      <c r="D333" s="18"/>
      <c r="E333" s="18"/>
      <c r="F333" s="18"/>
      <c r="G333"/>
      <c r="H333"/>
      <c r="I333" s="8"/>
    </row>
    <row r="334" spans="2:9" x14ac:dyDescent="0.2">
      <c r="B334"/>
      <c r="C334" s="18"/>
      <c r="D334" s="18"/>
      <c r="E334" s="18"/>
      <c r="F334" s="18"/>
      <c r="G334"/>
      <c r="H334"/>
      <c r="I334" s="8"/>
    </row>
    <row r="335" spans="2:9" x14ac:dyDescent="0.2">
      <c r="B335"/>
      <c r="C335" s="18"/>
      <c r="D335" s="18"/>
      <c r="E335" s="18"/>
      <c r="F335" s="18"/>
      <c r="G335"/>
      <c r="H335"/>
      <c r="I335" s="8"/>
    </row>
    <row r="336" spans="2:9" x14ac:dyDescent="0.2">
      <c r="B336"/>
      <c r="C336" s="18"/>
      <c r="D336" s="18"/>
      <c r="E336" s="18"/>
      <c r="F336" s="18"/>
      <c r="G336"/>
      <c r="H336"/>
      <c r="I336" s="8"/>
    </row>
    <row r="337" spans="2:9" x14ac:dyDescent="0.2">
      <c r="B337"/>
      <c r="C337" s="18"/>
      <c r="D337" s="18"/>
      <c r="E337" s="18"/>
      <c r="F337" s="10"/>
      <c r="G337" s="9"/>
      <c r="H337" s="9"/>
      <c r="I337" s="8"/>
    </row>
    <row r="338" spans="2:9" x14ac:dyDescent="0.2">
      <c r="B338"/>
      <c r="C338" s="10"/>
      <c r="D338" s="10"/>
      <c r="E338" s="10"/>
      <c r="F338" s="2"/>
      <c r="G338"/>
      <c r="H338"/>
      <c r="I338" s="8"/>
    </row>
    <row r="339" spans="2:9" hidden="1" x14ac:dyDescent="0.2">
      <c r="C339" s="1"/>
      <c r="D339" s="1"/>
      <c r="E339"/>
      <c r="F339" s="5"/>
    </row>
    <row r="340" spans="2:9" x14ac:dyDescent="0.2">
      <c r="C340" s="5"/>
      <c r="D340" s="5"/>
      <c r="F340" s="5"/>
    </row>
    <row r="341" spans="2:9" x14ac:dyDescent="0.2">
      <c r="C341" s="5"/>
      <c r="D341" s="5"/>
      <c r="F341" s="5"/>
    </row>
    <row r="342" spans="2:9" x14ac:dyDescent="0.2">
      <c r="C342" s="5"/>
      <c r="D342" s="5"/>
      <c r="F342" s="5"/>
    </row>
    <row r="343" spans="2:9" x14ac:dyDescent="0.2">
      <c r="C343" s="5"/>
      <c r="D343" s="5"/>
      <c r="F343" s="5"/>
    </row>
    <row r="344" spans="2:9" x14ac:dyDescent="0.2">
      <c r="C344" s="5"/>
      <c r="D344" s="5"/>
      <c r="F344" s="5"/>
    </row>
    <row r="345" spans="2:9" hidden="1" x14ac:dyDescent="0.2">
      <c r="C345" s="5"/>
      <c r="D345" s="5"/>
      <c r="F345" s="5"/>
    </row>
    <row r="346" spans="2:9" hidden="1" x14ac:dyDescent="0.2">
      <c r="C346" s="5"/>
      <c r="D346" s="5"/>
      <c r="F346" s="5"/>
    </row>
    <row r="347" spans="2:9" hidden="1" x14ac:dyDescent="0.2">
      <c r="C347" s="5"/>
      <c r="D347" s="5"/>
      <c r="F347" s="5"/>
    </row>
    <row r="348" spans="2:9" hidden="1" x14ac:dyDescent="0.2">
      <c r="C348" s="5"/>
      <c r="D348" s="5"/>
      <c r="F348" s="5"/>
    </row>
    <row r="349" spans="2:9" hidden="1" x14ac:dyDescent="0.2">
      <c r="C349" s="5"/>
      <c r="D349" s="5"/>
      <c r="F349" s="5"/>
    </row>
    <row r="350" spans="2:9" hidden="1" x14ac:dyDescent="0.2">
      <c r="C350" s="5"/>
      <c r="D350" s="5"/>
      <c r="F350" s="5"/>
    </row>
    <row r="351" spans="2:9" hidden="1" x14ac:dyDescent="0.2">
      <c r="C351" s="5"/>
      <c r="D351" s="5"/>
      <c r="F351" s="5"/>
    </row>
    <row r="352" spans="2:9" hidden="1" x14ac:dyDescent="0.2">
      <c r="C352" s="5"/>
      <c r="D352" s="5"/>
      <c r="F352" s="5"/>
    </row>
    <row r="353" spans="3:9" hidden="1" x14ac:dyDescent="0.2">
      <c r="C353" s="5"/>
      <c r="D353" s="5"/>
      <c r="F353" s="5"/>
    </row>
    <row r="354" spans="3:9" hidden="1" x14ac:dyDescent="0.2">
      <c r="C354" s="5"/>
      <c r="D354" s="5"/>
      <c r="F354" s="5"/>
    </row>
    <row r="355" spans="3:9" hidden="1" x14ac:dyDescent="0.2">
      <c r="C355" s="5"/>
      <c r="D355" s="5"/>
      <c r="F355" s="10"/>
      <c r="G355" s="10"/>
      <c r="H355" s="10"/>
      <c r="I355" s="10"/>
    </row>
    <row r="356" spans="3:9" hidden="1" x14ac:dyDescent="0.2">
      <c r="C356" s="5"/>
      <c r="D356" s="5"/>
      <c r="E356" s="10" t="s">
        <v>17</v>
      </c>
      <c r="F356" s="10"/>
      <c r="G356" s="10"/>
      <c r="H356" s="10"/>
      <c r="I356" s="10"/>
    </row>
    <row r="357" spans="3:9" hidden="1" x14ac:dyDescent="0.2">
      <c r="C357" s="5"/>
      <c r="D357" s="5"/>
      <c r="E357" s="10" t="s">
        <v>18</v>
      </c>
      <c r="F357" s="10"/>
      <c r="G357" s="10"/>
      <c r="H357" s="10"/>
      <c r="I357" s="10"/>
    </row>
    <row r="358" spans="3:9" hidden="1" x14ac:dyDescent="0.2">
      <c r="C358" s="5"/>
      <c r="D358" s="5"/>
      <c r="E358" s="10" t="s">
        <v>19</v>
      </c>
      <c r="F358" s="10"/>
      <c r="G358" s="10"/>
      <c r="H358" s="10"/>
      <c r="I358" s="10"/>
    </row>
    <row r="359" spans="3:9" hidden="1" x14ac:dyDescent="0.2">
      <c r="C359" s="5"/>
      <c r="D359" s="5"/>
      <c r="E359" s="10"/>
      <c r="F359" s="10"/>
      <c r="G359" s="10"/>
      <c r="H359" s="10"/>
      <c r="I359" s="10"/>
    </row>
    <row r="360" spans="3:9" hidden="1" x14ac:dyDescent="0.2">
      <c r="C360" s="5"/>
      <c r="D360" s="5"/>
      <c r="E360" s="10"/>
      <c r="F360" s="10"/>
      <c r="G360" s="10"/>
      <c r="H360" s="10"/>
      <c r="I360" s="10"/>
    </row>
    <row r="361" spans="3:9" hidden="1" x14ac:dyDescent="0.2">
      <c r="C361" s="5"/>
      <c r="D361" s="5"/>
      <c r="E361" s="10"/>
      <c r="F361" s="10"/>
      <c r="G361" s="10"/>
      <c r="H361" s="10"/>
      <c r="I361" s="10"/>
    </row>
    <row r="362" spans="3:9" hidden="1" x14ac:dyDescent="0.2">
      <c r="C362" s="5"/>
      <c r="D362" s="5"/>
      <c r="E362" s="10"/>
      <c r="F362" s="10"/>
      <c r="G362" s="10"/>
      <c r="H362" s="10"/>
      <c r="I362" s="10"/>
    </row>
    <row r="363" spans="3:9" hidden="1" x14ac:dyDescent="0.2">
      <c r="C363" s="5"/>
      <c r="D363" s="5"/>
      <c r="E363" s="10"/>
      <c r="F363" s="10"/>
      <c r="G363" s="10"/>
      <c r="H363" s="10"/>
      <c r="I363" s="10"/>
    </row>
    <row r="364" spans="3:9" hidden="1" x14ac:dyDescent="0.2">
      <c r="C364" s="5"/>
      <c r="D364" s="5"/>
      <c r="E364" s="10"/>
      <c r="F364" s="10"/>
      <c r="G364" s="4" t="s">
        <v>20</v>
      </c>
      <c r="H364" s="4"/>
      <c r="I364" s="10"/>
    </row>
    <row r="365" spans="3:9" hidden="1" x14ac:dyDescent="0.2">
      <c r="C365" s="5"/>
      <c r="D365" s="5"/>
      <c r="E365" s="31"/>
      <c r="F365" s="10"/>
      <c r="G365" s="4"/>
      <c r="H365" s="4"/>
      <c r="I365" s="10"/>
    </row>
    <row r="366" spans="3:9" hidden="1" x14ac:dyDescent="0.2">
      <c r="C366" s="5"/>
      <c r="D366" s="5"/>
      <c r="E366" s="31" t="s">
        <v>85</v>
      </c>
      <c r="F366" s="10"/>
      <c r="G366" s="4" t="s">
        <v>21</v>
      </c>
      <c r="H366" s="4"/>
      <c r="I366" s="10"/>
    </row>
    <row r="367" spans="3:9" hidden="1" x14ac:dyDescent="0.2">
      <c r="C367" s="5"/>
      <c r="D367" s="5"/>
      <c r="E367" s="31" t="s">
        <v>54</v>
      </c>
      <c r="F367" s="10"/>
      <c r="G367" s="4" t="s">
        <v>22</v>
      </c>
      <c r="H367" s="4"/>
      <c r="I367" s="10"/>
    </row>
    <row r="368" spans="3:9" hidden="1" x14ac:dyDescent="0.2">
      <c r="C368" s="5"/>
      <c r="D368" s="5"/>
      <c r="E368" s="31" t="s">
        <v>86</v>
      </c>
      <c r="F368" s="10"/>
      <c r="G368" s="4"/>
      <c r="H368" s="4"/>
      <c r="I368" s="10"/>
    </row>
    <row r="369" spans="3:9" hidden="1" x14ac:dyDescent="0.2">
      <c r="C369" s="5"/>
      <c r="D369" s="5"/>
      <c r="E369" s="12" t="s">
        <v>1</v>
      </c>
      <c r="F369" s="10"/>
      <c r="G369" s="4" t="s">
        <v>23</v>
      </c>
      <c r="H369" s="4"/>
      <c r="I369" s="10"/>
    </row>
    <row r="370" spans="3:9" hidden="1" x14ac:dyDescent="0.2">
      <c r="C370" s="5"/>
      <c r="D370" s="5"/>
      <c r="E370" s="12" t="s">
        <v>7</v>
      </c>
      <c r="F370" s="10"/>
      <c r="G370" s="4" t="s">
        <v>24</v>
      </c>
      <c r="H370" s="4"/>
      <c r="I370" s="10"/>
    </row>
    <row r="371" spans="3:9" hidden="1" x14ac:dyDescent="0.2">
      <c r="C371" s="5"/>
      <c r="D371" s="5"/>
      <c r="E371" s="31" t="s">
        <v>84</v>
      </c>
      <c r="F371" s="10"/>
      <c r="G371" s="4"/>
      <c r="H371" s="4"/>
      <c r="I371" s="10"/>
    </row>
    <row r="372" spans="3:9" hidden="1" x14ac:dyDescent="0.2">
      <c r="C372" s="5"/>
      <c r="D372" s="5"/>
      <c r="E372" s="31" t="s">
        <v>83</v>
      </c>
      <c r="F372" s="10"/>
      <c r="G372" s="4"/>
      <c r="H372" s="4"/>
      <c r="I372" s="10"/>
    </row>
    <row r="373" spans="3:9" hidden="1" x14ac:dyDescent="0.2">
      <c r="C373" s="5"/>
      <c r="D373" s="5"/>
      <c r="E373" s="31" t="s">
        <v>82</v>
      </c>
      <c r="F373" s="10"/>
      <c r="G373" s="4" t="s">
        <v>18</v>
      </c>
      <c r="H373" s="4"/>
      <c r="I373" s="10"/>
    </row>
    <row r="374" spans="3:9" hidden="1" x14ac:dyDescent="0.2">
      <c r="C374" s="5"/>
      <c r="D374" s="5"/>
      <c r="E374" s="12" t="s">
        <v>8</v>
      </c>
      <c r="F374" s="10"/>
      <c r="G374" s="4" t="s">
        <v>19</v>
      </c>
      <c r="H374" s="4"/>
      <c r="I374" s="10"/>
    </row>
    <row r="375" spans="3:9" hidden="1" x14ac:dyDescent="0.2">
      <c r="C375" s="5"/>
      <c r="D375" s="5"/>
      <c r="E375" s="21" t="s">
        <v>28</v>
      </c>
      <c r="F375" s="10"/>
      <c r="G375" s="10" t="s">
        <v>25</v>
      </c>
      <c r="H375" s="10"/>
      <c r="I375" s="10"/>
    </row>
    <row r="376" spans="3:9" hidden="1" x14ac:dyDescent="0.2">
      <c r="C376" s="5"/>
      <c r="D376" s="5"/>
      <c r="E376" s="21" t="s">
        <v>95</v>
      </c>
      <c r="F376" s="10"/>
      <c r="G376" s="15" t="s">
        <v>11</v>
      </c>
      <c r="H376" s="15"/>
      <c r="I376" s="10"/>
    </row>
    <row r="377" spans="3:9" hidden="1" x14ac:dyDescent="0.2">
      <c r="C377" s="5"/>
      <c r="D377" s="5"/>
      <c r="E377" s="12" t="s">
        <v>9</v>
      </c>
      <c r="F377" s="10"/>
      <c r="G377" s="10"/>
      <c r="H377" s="10"/>
      <c r="I377" s="10"/>
    </row>
    <row r="378" spans="3:9" hidden="1" x14ac:dyDescent="0.2">
      <c r="C378" s="5"/>
      <c r="D378" s="5"/>
      <c r="E378" s="12"/>
      <c r="F378" s="10"/>
      <c r="G378" s="10"/>
      <c r="H378" s="10"/>
      <c r="I378" s="10"/>
    </row>
    <row r="379" spans="3:9" hidden="1" x14ac:dyDescent="0.2">
      <c r="C379" s="5"/>
      <c r="D379" s="5"/>
      <c r="E379" s="12"/>
      <c r="F379" s="5"/>
    </row>
    <row r="380" spans="3:9" hidden="1" x14ac:dyDescent="0.2">
      <c r="C380" s="5"/>
      <c r="D380" s="5"/>
      <c r="F380" s="5"/>
    </row>
    <row r="381" spans="3:9" hidden="1" x14ac:dyDescent="0.2">
      <c r="C381" s="5"/>
      <c r="D381" s="5"/>
      <c r="F381" s="5"/>
    </row>
    <row r="382" spans="3:9" hidden="1" x14ac:dyDescent="0.2">
      <c r="C382" s="5"/>
      <c r="D382" s="5"/>
      <c r="F382" s="5"/>
    </row>
    <row r="383" spans="3:9" hidden="1" x14ac:dyDescent="0.2">
      <c r="C383" s="5"/>
      <c r="D383" s="5"/>
      <c r="F383" s="5"/>
    </row>
    <row r="384" spans="3:9" hidden="1" x14ac:dyDescent="0.2">
      <c r="C384" s="5"/>
      <c r="D384" s="5"/>
      <c r="F384" s="5"/>
    </row>
    <row r="385" spans="3:6" hidden="1" x14ac:dyDescent="0.2">
      <c r="C385" s="5"/>
      <c r="D385" s="5"/>
      <c r="F385" s="5"/>
    </row>
    <row r="386" spans="3:6" hidden="1" x14ac:dyDescent="0.2">
      <c r="C386" s="5"/>
      <c r="D386" s="5"/>
      <c r="F386" s="5"/>
    </row>
    <row r="387" spans="3:6" hidden="1" x14ac:dyDescent="0.2">
      <c r="C387" s="5"/>
      <c r="D387" s="5"/>
      <c r="F387" s="5"/>
    </row>
    <row r="388" spans="3:6" hidden="1" x14ac:dyDescent="0.2">
      <c r="C388" s="5"/>
      <c r="D388" s="5"/>
      <c r="F388" s="5"/>
    </row>
    <row r="389" spans="3:6" hidden="1" x14ac:dyDescent="0.2">
      <c r="C389" s="5"/>
      <c r="D389" s="5"/>
      <c r="F389" s="5"/>
    </row>
    <row r="390" spans="3:6" hidden="1" x14ac:dyDescent="0.2">
      <c r="C390" s="5"/>
      <c r="D390" s="5"/>
      <c r="F390" s="5"/>
    </row>
    <row r="391" spans="3:6" hidden="1" x14ac:dyDescent="0.2">
      <c r="C391" s="5"/>
      <c r="D391" s="5"/>
      <c r="F391" s="5"/>
    </row>
    <row r="392" spans="3:6" hidden="1" x14ac:dyDescent="0.2">
      <c r="C392" s="5"/>
      <c r="D392" s="5"/>
      <c r="F392" s="5"/>
    </row>
    <row r="393" spans="3:6" hidden="1" x14ac:dyDescent="0.2">
      <c r="C393" s="5"/>
      <c r="D393" s="5"/>
      <c r="F393" s="5"/>
    </row>
    <row r="394" spans="3:6" x14ac:dyDescent="0.2">
      <c r="C394" s="5"/>
      <c r="D394" s="5"/>
      <c r="F394" s="5"/>
    </row>
    <row r="395" spans="3:6" x14ac:dyDescent="0.2">
      <c r="C395" s="5"/>
      <c r="D395" s="5"/>
      <c r="F395" s="5"/>
    </row>
    <row r="396" spans="3:6" x14ac:dyDescent="0.2">
      <c r="C396" s="5"/>
      <c r="D396" s="5"/>
      <c r="F396" s="5"/>
    </row>
    <row r="397" spans="3:6" x14ac:dyDescent="0.2">
      <c r="C397" s="5"/>
      <c r="D397" s="5"/>
      <c r="F397" s="5"/>
    </row>
    <row r="398" spans="3:6" x14ac:dyDescent="0.2">
      <c r="C398" s="5"/>
      <c r="D398" s="5"/>
      <c r="F398" s="5"/>
    </row>
    <row r="399" spans="3:6" x14ac:dyDescent="0.2">
      <c r="C399" s="5"/>
      <c r="D399" s="5"/>
      <c r="F399" s="5"/>
    </row>
    <row r="400" spans="3:6" x14ac:dyDescent="0.2">
      <c r="C400" s="5"/>
      <c r="D400" s="5"/>
      <c r="F400" s="5"/>
    </row>
    <row r="401" spans="3:6" x14ac:dyDescent="0.2">
      <c r="C401" s="5"/>
      <c r="D401" s="5"/>
      <c r="F401" s="5"/>
    </row>
    <row r="402" spans="3:6" x14ac:dyDescent="0.2">
      <c r="C402" s="5"/>
      <c r="D402" s="5"/>
      <c r="F402" s="5"/>
    </row>
    <row r="403" spans="3:6" x14ac:dyDescent="0.2">
      <c r="C403" s="5"/>
      <c r="D403" s="5"/>
      <c r="F403" s="5"/>
    </row>
    <row r="404" spans="3:6" x14ac:dyDescent="0.2">
      <c r="C404" s="5"/>
      <c r="D404" s="5"/>
      <c r="F404" s="5"/>
    </row>
    <row r="405" spans="3:6" x14ac:dyDescent="0.2">
      <c r="C405" s="5"/>
      <c r="D405" s="5"/>
      <c r="F405" s="5"/>
    </row>
    <row r="406" spans="3:6" x14ac:dyDescent="0.2">
      <c r="C406" s="5"/>
      <c r="D406" s="5"/>
      <c r="F406" s="5"/>
    </row>
    <row r="407" spans="3:6" x14ac:dyDescent="0.2">
      <c r="C407" s="5"/>
      <c r="D407" s="5"/>
      <c r="F407" s="5"/>
    </row>
    <row r="408" spans="3:6" x14ac:dyDescent="0.2">
      <c r="C408" s="5"/>
      <c r="D408" s="5"/>
      <c r="F408" s="5"/>
    </row>
    <row r="409" spans="3:6" x14ac:dyDescent="0.2">
      <c r="C409" s="5"/>
      <c r="D409" s="5"/>
      <c r="F409" s="5"/>
    </row>
    <row r="410" spans="3:6" x14ac:dyDescent="0.2">
      <c r="C410" s="5"/>
      <c r="D410" s="5"/>
      <c r="F410" s="5"/>
    </row>
    <row r="411" spans="3:6" x14ac:dyDescent="0.2">
      <c r="C411" s="5"/>
      <c r="D411" s="5"/>
      <c r="F411" s="5"/>
    </row>
    <row r="412" spans="3:6" x14ac:dyDescent="0.2">
      <c r="C412" s="5"/>
      <c r="D412" s="5"/>
      <c r="F412" s="5"/>
    </row>
    <row r="413" spans="3:6" x14ac:dyDescent="0.2">
      <c r="C413" s="5"/>
      <c r="D413" s="5"/>
      <c r="F413" s="5"/>
    </row>
    <row r="414" spans="3:6" x14ac:dyDescent="0.2">
      <c r="C414" s="5"/>
      <c r="D414" s="5"/>
      <c r="F414" s="5"/>
    </row>
    <row r="415" spans="3:6" x14ac:dyDescent="0.2">
      <c r="C415" s="5"/>
      <c r="D415" s="5"/>
      <c r="F415" s="5"/>
    </row>
    <row r="416" spans="3:6" x14ac:dyDescent="0.2">
      <c r="C416" s="5"/>
      <c r="D416" s="5"/>
      <c r="F416" s="5"/>
    </row>
    <row r="417" spans="3:6" x14ac:dyDescent="0.2">
      <c r="C417" s="5"/>
      <c r="D417" s="5"/>
      <c r="F417" s="5"/>
    </row>
    <row r="418" spans="3:6" x14ac:dyDescent="0.2">
      <c r="C418" s="5"/>
      <c r="D418" s="5"/>
      <c r="F418" s="5"/>
    </row>
    <row r="419" spans="3:6" x14ac:dyDescent="0.2">
      <c r="C419" s="5"/>
      <c r="D419" s="5"/>
      <c r="F419" s="5"/>
    </row>
    <row r="420" spans="3:6" x14ac:dyDescent="0.2">
      <c r="C420" s="5"/>
      <c r="D420" s="5"/>
      <c r="F420" s="5"/>
    </row>
    <row r="421" spans="3:6" x14ac:dyDescent="0.2">
      <c r="C421" s="5"/>
      <c r="D421" s="5"/>
      <c r="F421" s="5"/>
    </row>
    <row r="422" spans="3:6" x14ac:dyDescent="0.2">
      <c r="C422" s="5"/>
      <c r="D422" s="5"/>
      <c r="F422" s="5"/>
    </row>
    <row r="423" spans="3:6" x14ac:dyDescent="0.2">
      <c r="C423" s="5"/>
      <c r="D423" s="5"/>
      <c r="F423" s="5"/>
    </row>
    <row r="424" spans="3:6" x14ac:dyDescent="0.2">
      <c r="C424" s="5"/>
      <c r="D424" s="5"/>
      <c r="F424" s="5"/>
    </row>
    <row r="425" spans="3:6" x14ac:dyDescent="0.2">
      <c r="C425" s="5"/>
      <c r="D425" s="5"/>
      <c r="F425" s="5"/>
    </row>
    <row r="426" spans="3:6" x14ac:dyDescent="0.2">
      <c r="C426" s="5"/>
      <c r="D426" s="5"/>
      <c r="F426" s="5"/>
    </row>
    <row r="427" spans="3:6" x14ac:dyDescent="0.2">
      <c r="C427" s="5"/>
      <c r="D427" s="5"/>
      <c r="F427" s="5"/>
    </row>
    <row r="428" spans="3:6" x14ac:dyDescent="0.2">
      <c r="C428" s="5"/>
      <c r="D428" s="5"/>
      <c r="F428" s="5"/>
    </row>
    <row r="429" spans="3:6" x14ac:dyDescent="0.2">
      <c r="C429" s="5"/>
      <c r="D429" s="5"/>
      <c r="F429" s="5"/>
    </row>
    <row r="430" spans="3:6" x14ac:dyDescent="0.2">
      <c r="C430" s="5"/>
      <c r="D430" s="5"/>
      <c r="F430" s="5"/>
    </row>
    <row r="431" spans="3:6" x14ac:dyDescent="0.2">
      <c r="C431" s="5"/>
      <c r="D431" s="5"/>
      <c r="F431" s="5"/>
    </row>
    <row r="432" spans="3:6" x14ac:dyDescent="0.2">
      <c r="C432" s="5"/>
      <c r="D432" s="5"/>
      <c r="F432" s="5"/>
    </row>
    <row r="433" spans="3:6" x14ac:dyDescent="0.2">
      <c r="C433" s="5"/>
      <c r="D433" s="5"/>
      <c r="F433" s="5"/>
    </row>
    <row r="434" spans="3:6" x14ac:dyDescent="0.2">
      <c r="C434" s="5"/>
      <c r="D434" s="5"/>
      <c r="F434" s="5"/>
    </row>
    <row r="435" spans="3:6" x14ac:dyDescent="0.2">
      <c r="C435" s="5"/>
      <c r="D435" s="5"/>
      <c r="F435" s="5"/>
    </row>
    <row r="436" spans="3:6" x14ac:dyDescent="0.2">
      <c r="C436" s="5"/>
      <c r="D436" s="5"/>
      <c r="F436" s="5"/>
    </row>
    <row r="437" spans="3:6" x14ac:dyDescent="0.2">
      <c r="C437" s="5"/>
      <c r="D437" s="5"/>
      <c r="F437" s="5"/>
    </row>
    <row r="438" spans="3:6" x14ac:dyDescent="0.2">
      <c r="C438" s="5"/>
      <c r="D438" s="5"/>
      <c r="F438" s="5"/>
    </row>
    <row r="439" spans="3:6" x14ac:dyDescent="0.2">
      <c r="C439" s="5"/>
      <c r="D439" s="5"/>
      <c r="F439" s="5"/>
    </row>
    <row r="440" spans="3:6" x14ac:dyDescent="0.2">
      <c r="C440" s="5"/>
      <c r="D440" s="5"/>
      <c r="F440" s="5"/>
    </row>
    <row r="441" spans="3:6" x14ac:dyDescent="0.2">
      <c r="C441" s="5"/>
      <c r="D441" s="5"/>
      <c r="F441" s="5"/>
    </row>
    <row r="442" spans="3:6" x14ac:dyDescent="0.2">
      <c r="C442" s="5"/>
      <c r="D442" s="5"/>
      <c r="F442" s="5"/>
    </row>
    <row r="443" spans="3:6" x14ac:dyDescent="0.2">
      <c r="C443" s="5"/>
      <c r="D443" s="5"/>
      <c r="F443" s="5"/>
    </row>
    <row r="444" spans="3:6" x14ac:dyDescent="0.2">
      <c r="C444" s="5"/>
      <c r="D444" s="5"/>
      <c r="F444" s="5"/>
    </row>
    <row r="445" spans="3:6" x14ac:dyDescent="0.2">
      <c r="C445" s="5"/>
      <c r="D445" s="5"/>
      <c r="F445" s="5"/>
    </row>
    <row r="446" spans="3:6" x14ac:dyDescent="0.2">
      <c r="C446" s="5"/>
      <c r="D446" s="5"/>
      <c r="F446" s="5"/>
    </row>
    <row r="447" spans="3:6" x14ac:dyDescent="0.2">
      <c r="C447" s="5"/>
      <c r="D447" s="5"/>
      <c r="F447" s="5"/>
    </row>
    <row r="448" spans="3:6" x14ac:dyDescent="0.2">
      <c r="C448" s="5"/>
      <c r="D448" s="5"/>
      <c r="F448" s="5"/>
    </row>
    <row r="449" spans="3:6" x14ac:dyDescent="0.2">
      <c r="C449" s="5"/>
      <c r="D449" s="5"/>
      <c r="F449" s="5"/>
    </row>
    <row r="450" spans="3:6" x14ac:dyDescent="0.2">
      <c r="C450" s="5"/>
      <c r="D450" s="5"/>
      <c r="F450" s="5"/>
    </row>
    <row r="451" spans="3:6" x14ac:dyDescent="0.2">
      <c r="C451" s="5"/>
      <c r="D451" s="5"/>
      <c r="F451" s="5"/>
    </row>
    <row r="452" spans="3:6" x14ac:dyDescent="0.2">
      <c r="C452" s="5"/>
      <c r="D452" s="5"/>
      <c r="F452" s="5"/>
    </row>
    <row r="453" spans="3:6" x14ac:dyDescent="0.2">
      <c r="C453" s="5"/>
      <c r="D453" s="5"/>
      <c r="F453" s="5"/>
    </row>
    <row r="454" spans="3:6" x14ac:dyDescent="0.2">
      <c r="C454" s="5"/>
      <c r="D454" s="5"/>
      <c r="F454" s="5"/>
    </row>
    <row r="455" spans="3:6" x14ac:dyDescent="0.2">
      <c r="C455" s="5"/>
      <c r="D455" s="5"/>
      <c r="F455" s="5"/>
    </row>
    <row r="456" spans="3:6" x14ac:dyDescent="0.2">
      <c r="C456" s="5"/>
      <c r="D456" s="5"/>
      <c r="F456" s="5"/>
    </row>
    <row r="457" spans="3:6" x14ac:dyDescent="0.2">
      <c r="C457" s="5"/>
      <c r="D457" s="5"/>
      <c r="F457" s="5"/>
    </row>
    <row r="458" spans="3:6" x14ac:dyDescent="0.2">
      <c r="C458" s="5"/>
      <c r="D458" s="5"/>
      <c r="F458" s="5"/>
    </row>
    <row r="459" spans="3:6" x14ac:dyDescent="0.2">
      <c r="C459" s="5"/>
      <c r="D459" s="5"/>
      <c r="F459" s="5"/>
    </row>
    <row r="460" spans="3:6" x14ac:dyDescent="0.2">
      <c r="C460" s="5"/>
      <c r="D460" s="5"/>
      <c r="F460" s="5"/>
    </row>
    <row r="461" spans="3:6" x14ac:dyDescent="0.2">
      <c r="C461" s="5"/>
      <c r="D461" s="5"/>
      <c r="F461" s="5"/>
    </row>
    <row r="462" spans="3:6" x14ac:dyDescent="0.2">
      <c r="C462" s="5"/>
      <c r="D462" s="5"/>
      <c r="F462" s="5"/>
    </row>
    <row r="463" spans="3:6" x14ac:dyDescent="0.2">
      <c r="C463" s="5"/>
      <c r="D463" s="5"/>
      <c r="F463" s="5"/>
    </row>
    <row r="464" spans="3:6" x14ac:dyDescent="0.2">
      <c r="C464" s="5"/>
      <c r="D464" s="5"/>
      <c r="F464" s="5"/>
    </row>
    <row r="465" spans="3:6" x14ac:dyDescent="0.2">
      <c r="C465" s="5"/>
      <c r="D465" s="5"/>
      <c r="F465" s="5"/>
    </row>
    <row r="466" spans="3:6" x14ac:dyDescent="0.2">
      <c r="C466" s="5"/>
      <c r="D466" s="5"/>
      <c r="F466" s="5"/>
    </row>
    <row r="467" spans="3:6" x14ac:dyDescent="0.2">
      <c r="C467" s="5"/>
      <c r="D467" s="5"/>
      <c r="F467" s="5"/>
    </row>
    <row r="468" spans="3:6" x14ac:dyDescent="0.2">
      <c r="C468" s="5"/>
      <c r="D468" s="5"/>
      <c r="F468" s="5"/>
    </row>
    <row r="469" spans="3:6" x14ac:dyDescent="0.2">
      <c r="C469" s="5"/>
      <c r="D469" s="5"/>
      <c r="F469" s="5"/>
    </row>
    <row r="470" spans="3:6" x14ac:dyDescent="0.2">
      <c r="C470" s="5"/>
      <c r="D470" s="5"/>
      <c r="F470" s="5"/>
    </row>
    <row r="471" spans="3:6" x14ac:dyDescent="0.2">
      <c r="C471" s="5"/>
      <c r="D471" s="5"/>
      <c r="F471" s="5"/>
    </row>
    <row r="472" spans="3:6" x14ac:dyDescent="0.2">
      <c r="C472" s="5"/>
      <c r="D472" s="5"/>
      <c r="F472" s="5"/>
    </row>
    <row r="473" spans="3:6" x14ac:dyDescent="0.2">
      <c r="C473" s="5"/>
      <c r="D473" s="5"/>
      <c r="F473" s="5"/>
    </row>
    <row r="474" spans="3:6" x14ac:dyDescent="0.2">
      <c r="C474" s="5"/>
      <c r="D474" s="5"/>
      <c r="F474" s="5"/>
    </row>
    <row r="475" spans="3:6" x14ac:dyDescent="0.2">
      <c r="C475" s="5"/>
      <c r="D475" s="5"/>
      <c r="F475" s="5"/>
    </row>
    <row r="476" spans="3:6" x14ac:dyDescent="0.2">
      <c r="C476" s="5"/>
      <c r="D476" s="5"/>
      <c r="F476" s="5"/>
    </row>
    <row r="477" spans="3:6" x14ac:dyDescent="0.2">
      <c r="C477" s="5"/>
      <c r="D477" s="5"/>
    </row>
  </sheetData>
  <sheetProtection password="C4CD" sheet="1" selectLockedCells="1"/>
  <protectedRanges>
    <protectedRange sqref="D29:D30 C35 D47:D48 C55 D60:D61 F50:F53 E49 F59:F63 F38:F41 D22 D10:D19 D25:D26 F29:F36 F45:F48 F238:F239 F246:F248" name="Range1"/>
    <protectedRange sqref="D21" name="Range1_2"/>
    <protectedRange sqref="D20" name="Range1_2_1"/>
    <protectedRange sqref="C77:C80 E77:E80" name="Range1_1"/>
  </protectedRanges>
  <sortState xmlns:xlrd2="http://schemas.microsoft.com/office/spreadsheetml/2017/richdata2" ref="L63:L80">
    <sortCondition ref="L63"/>
  </sortState>
  <mergeCells count="22">
    <mergeCell ref="C35:D35"/>
    <mergeCell ref="D21:E21"/>
    <mergeCell ref="C65:F82"/>
    <mergeCell ref="C47:D47"/>
    <mergeCell ref="C48:D48"/>
    <mergeCell ref="C39:D39"/>
    <mergeCell ref="C5:F5"/>
    <mergeCell ref="C6:F6"/>
    <mergeCell ref="D11:E11"/>
    <mergeCell ref="C34:D34"/>
    <mergeCell ref="C31:D31"/>
    <mergeCell ref="D18:E18"/>
    <mergeCell ref="D15:E15"/>
    <mergeCell ref="D10:E10"/>
    <mergeCell ref="D13:E13"/>
    <mergeCell ref="D16:E16"/>
    <mergeCell ref="D17:E17"/>
    <mergeCell ref="D20:E20"/>
    <mergeCell ref="D19:E19"/>
    <mergeCell ref="D12:E12"/>
    <mergeCell ref="D14:E14"/>
    <mergeCell ref="D22:E22"/>
  </mergeCells>
  <conditionalFormatting sqref="D16:E17 D12:E12 E34:E36 E47 E39:E42 D19:E19">
    <cfRule type="containsBlanks" dxfId="10" priority="11">
      <formula>LEN(TRIM(D12))=0</formula>
    </cfRule>
  </conditionalFormatting>
  <conditionalFormatting sqref="D10:E10">
    <cfRule type="containsBlanks" dxfId="9" priority="10">
      <formula>LEN(TRIM(D10))=0</formula>
    </cfRule>
  </conditionalFormatting>
  <conditionalFormatting sqref="D13:E13">
    <cfRule type="containsBlanks" dxfId="8" priority="9">
      <formula>LEN(TRIM(D13))=0</formula>
    </cfRule>
  </conditionalFormatting>
  <conditionalFormatting sqref="D11:E11">
    <cfRule type="containsBlanks" dxfId="7" priority="8">
      <formula>LEN(TRIM(D11))=0</formula>
    </cfRule>
  </conditionalFormatting>
  <conditionalFormatting sqref="D15:E15">
    <cfRule type="containsBlanks" dxfId="6" priority="7">
      <formula>LEN(TRIM(D15))=0</formula>
    </cfRule>
  </conditionalFormatting>
  <conditionalFormatting sqref="D18:E18">
    <cfRule type="containsBlanks" dxfId="5" priority="6">
      <formula>LEN(TRIM(D18))=0</formula>
    </cfRule>
  </conditionalFormatting>
  <conditionalFormatting sqref="E37">
    <cfRule type="containsBlanks" dxfId="4" priority="5">
      <formula>LEN(TRIM(E37))=0</formula>
    </cfRule>
  </conditionalFormatting>
  <conditionalFormatting sqref="D22:E22 D25:D26">
    <cfRule type="containsBlanks" dxfId="3" priority="4">
      <formula>LEN(TRIM(D22))=0</formula>
    </cfRule>
  </conditionalFormatting>
  <conditionalFormatting sqref="D21">
    <cfRule type="containsBlanks" dxfId="2" priority="3">
      <formula>LEN(TRIM(D21))=0</formula>
    </cfRule>
  </conditionalFormatting>
  <conditionalFormatting sqref="D14:E14">
    <cfRule type="containsBlanks" dxfId="1" priority="2">
      <formula>LEN(TRIM(D14))=0</formula>
    </cfRule>
  </conditionalFormatting>
  <conditionalFormatting sqref="D20:E20">
    <cfRule type="containsBlanks" dxfId="0" priority="1">
      <formula>LEN(TRIM(D20))=0</formula>
    </cfRule>
  </conditionalFormatting>
  <dataValidations xWindow="733" yWindow="372" count="10">
    <dataValidation type="list" showInputMessage="1" showErrorMessage="1" prompt="&lt;select Yes / Blank&gt;" sqref="D57:D58 D55 E31" xr:uid="{00000000-0002-0000-0100-000000000000}">
      <formula1>$E$357:$E$358</formula1>
    </dataValidation>
    <dataValidation type="list" showInputMessage="1" showErrorMessage="1" prompt="&lt;select Yes / Blank&gt;" sqref="F59:F61 D61" xr:uid="{00000000-0002-0000-0100-000001000000}">
      <formula1>$G$364:$G$370</formula1>
    </dataValidation>
    <dataValidation type="list" allowBlank="1" showInputMessage="1" showErrorMessage="1" promptTitle="Technology" prompt="Please select which model is required for the project." sqref="D8" xr:uid="{00000000-0002-0000-0100-000002000000}">
      <formula1>$L$31:$L$33</formula1>
    </dataValidation>
    <dataValidation type="list" allowBlank="1" showInputMessage="1" showErrorMessage="1" sqref="D13:E13" xr:uid="{00000000-0002-0000-0100-000003000000}">
      <formula1>"OEM, New Customer, Existing Customer"</formula1>
    </dataValidation>
    <dataValidation type="list" allowBlank="1" showInputMessage="1" showErrorMessage="1" promptTitle="Welcome Pack" prompt="Has the customer recieved a welcome pack?" sqref="D22:E22" xr:uid="{00000000-0002-0000-0100-000004000000}">
      <formula1>"Completed, Incomplete"</formula1>
    </dataValidation>
    <dataValidation type="list" allowBlank="1" showInputMessage="1" showErrorMessage="1" sqref="D21:E21" xr:uid="{00000000-0002-0000-0100-000005000000}">
      <formula1>"Project Engineer - Please call to discuss, no further information required"</formula1>
    </dataValidation>
    <dataValidation allowBlank="1" showInputMessage="1" showErrorMessage="1" promptTitle="Welcome Pack" prompt="Has the customer recieved a welcome pack?" sqref="D25:D26" xr:uid="{00000000-0002-0000-0100-000006000000}"/>
    <dataValidation type="list" allowBlank="1" showInputMessage="1" showErrorMessage="1" sqref="D20:E20" xr:uid="{00000000-0002-0000-0100-000007000000}">
      <formula1>"Yes, No"</formula1>
    </dataValidation>
    <dataValidation type="list" allowBlank="1" showInputMessage="1" showErrorMessage="1" promptTitle="Territory Allocation" prompt="To Split Sales between two territories" sqref="E25:E26" xr:uid="{00000000-0002-0000-0100-000008000000}">
      <formula1>"NAT, NSW N, NSW S, NSW W, QLD, QLD S, QLD Nth, SA, TAS, VIC E, VIC N, VIC W, WA"</formula1>
    </dataValidation>
    <dataValidation showInputMessage="1" showErrorMessage="1" prompt="&lt;select Yes / Blank&gt;" sqref="E32" xr:uid="{075BE5A5-0280-4AB0-AC52-1B253B526516}"/>
  </dataValidations>
  <pageMargins left="0.74803149606299213" right="0.74803149606299213" top="0.98425196850393704" bottom="0.98425196850393704" header="0.51181102362204722" footer="0.51181102362204722"/>
  <pageSetup paperSize="9" scale="60" orientation="portrait" horizontalDpi="200" r:id="rId1"/>
  <headerFooter alignWithMargins="0">
    <oddHeader>&amp;F</oddHeader>
    <oddFooter>&amp;L&amp;BMatthews Australasia Pty Ltd Confidential&amp;B&amp;C&amp;D&amp;RPage &amp;P</oddFooter>
  </headerFooter>
  <ignoredErrors>
    <ignoredError sqref="D49 H115:H129 H143:H166 H227:H236 H264:H269 H252:H256 D274:D281 E274:G277 C290:D297 H108 H181:H203 H217:H218 H99:H100 H243" unlockedFormula="1"/>
    <ignoredError sqref="N32:V32 N34:V34 N33:P33 R33:V33 U31:V31 E299" evalError="1"/>
    <ignoredError sqref="Q33" formula="1"/>
    <ignoredError sqref="D86" numberStoredAsText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theme="5" tint="-0.249977111117893"/>
  </sheetPr>
  <dimension ref="B3:N41"/>
  <sheetViews>
    <sheetView showGridLines="0" showRowColHeaders="0" workbookViewId="0">
      <selection activeCell="F8" sqref="F8"/>
    </sheetView>
  </sheetViews>
  <sheetFormatPr defaultColWidth="9.140625" defaultRowHeight="12.75" x14ac:dyDescent="0.2"/>
  <cols>
    <col min="1" max="2" width="9.140625" style="42"/>
    <col min="3" max="3" width="33.28515625" style="42" bestFit="1" customWidth="1"/>
    <col min="4" max="13" width="9.140625" style="42"/>
    <col min="14" max="14" width="33.42578125" style="42" bestFit="1" customWidth="1"/>
    <col min="15" max="16384" width="9.140625" style="42"/>
  </cols>
  <sheetData>
    <row r="3" spans="2:14" x14ac:dyDescent="0.2">
      <c r="B3" s="28"/>
      <c r="C3" s="28"/>
      <c r="D3" s="28"/>
      <c r="E3" s="28"/>
      <c r="F3" s="28"/>
      <c r="G3" s="28"/>
      <c r="H3" s="28"/>
      <c r="I3" s="28"/>
      <c r="J3" s="28"/>
      <c r="K3" s="28"/>
    </row>
    <row r="4" spans="2:14" x14ac:dyDescent="0.2">
      <c r="B4" s="28"/>
      <c r="C4" s="28"/>
      <c r="D4" s="28"/>
      <c r="E4" s="28"/>
      <c r="F4" s="28"/>
      <c r="G4" s="28"/>
      <c r="H4" s="28"/>
      <c r="I4" s="28"/>
      <c r="J4" s="28"/>
      <c r="K4" s="28"/>
    </row>
    <row r="5" spans="2:14" x14ac:dyDescent="0.2">
      <c r="B5" s="28"/>
      <c r="C5" s="28"/>
      <c r="D5" s="28"/>
      <c r="E5" s="28"/>
      <c r="F5" s="28"/>
      <c r="G5" s="28"/>
      <c r="H5" s="43"/>
      <c r="I5" s="28"/>
      <c r="J5" s="28"/>
      <c r="K5" s="28"/>
    </row>
    <row r="6" spans="2:14" x14ac:dyDescent="0.2">
      <c r="B6" s="28"/>
      <c r="C6" s="28"/>
      <c r="D6" s="28"/>
      <c r="E6" s="28"/>
      <c r="F6" s="28"/>
      <c r="G6" s="28"/>
      <c r="H6" s="28"/>
      <c r="I6" s="28"/>
      <c r="J6" s="28"/>
      <c r="K6" s="28"/>
    </row>
    <row r="7" spans="2:14" x14ac:dyDescent="0.2">
      <c r="B7" s="28"/>
      <c r="C7" s="28"/>
      <c r="D7" s="28"/>
      <c r="E7" s="28"/>
      <c r="F7" s="28"/>
      <c r="G7" s="28"/>
      <c r="H7" s="43"/>
      <c r="I7" s="28"/>
      <c r="J7" s="28"/>
      <c r="K7" s="28"/>
      <c r="N7" s="44" t="s">
        <v>60</v>
      </c>
    </row>
    <row r="8" spans="2:14" ht="20.25" customHeight="1" x14ac:dyDescent="0.2">
      <c r="B8" s="28"/>
      <c r="C8" s="45" t="s">
        <v>61</v>
      </c>
      <c r="D8" s="28"/>
      <c r="E8" s="46"/>
      <c r="F8" s="47"/>
      <c r="G8" s="28"/>
      <c r="H8" s="48"/>
      <c r="I8" s="28"/>
      <c r="J8" s="28"/>
      <c r="K8" s="28"/>
      <c r="N8" s="49">
        <v>41732</v>
      </c>
    </row>
    <row r="9" spans="2:14" ht="20.25" customHeight="1" x14ac:dyDescent="0.2">
      <c r="B9" s="28"/>
      <c r="C9" s="45" t="s">
        <v>62</v>
      </c>
      <c r="D9" s="28"/>
      <c r="E9" s="46"/>
      <c r="F9" s="47"/>
      <c r="G9" s="28"/>
      <c r="H9" s="50"/>
      <c r="I9" s="28"/>
      <c r="J9" s="28"/>
      <c r="K9" s="28"/>
      <c r="N9" s="51" t="s">
        <v>63</v>
      </c>
    </row>
    <row r="10" spans="2:14" ht="20.25" customHeight="1" x14ac:dyDescent="0.2">
      <c r="B10" s="28"/>
      <c r="C10" s="45" t="s">
        <v>64</v>
      </c>
      <c r="D10" s="28"/>
      <c r="E10" s="46"/>
      <c r="F10" s="52" t="s">
        <v>65</v>
      </c>
      <c r="G10" s="28"/>
      <c r="H10" s="40" t="s">
        <v>66</v>
      </c>
      <c r="I10" s="28"/>
      <c r="J10" s="28"/>
      <c r="K10" s="28"/>
      <c r="N10" s="51" t="s">
        <v>67</v>
      </c>
    </row>
    <row r="11" spans="2:14" ht="20.25" customHeight="1" x14ac:dyDescent="0.2">
      <c r="B11" s="28"/>
      <c r="C11" s="45" t="s">
        <v>68</v>
      </c>
      <c r="D11" s="28"/>
      <c r="E11" s="46"/>
      <c r="F11" s="52" t="s">
        <v>65</v>
      </c>
      <c r="G11" s="28"/>
      <c r="H11" s="53"/>
      <c r="I11" s="28"/>
      <c r="J11" s="28"/>
      <c r="K11" s="28"/>
      <c r="N11" s="54">
        <v>12700</v>
      </c>
    </row>
    <row r="12" spans="2:14" ht="20.25" customHeight="1" x14ac:dyDescent="0.2">
      <c r="B12" s="28"/>
      <c r="C12" s="45" t="s">
        <v>69</v>
      </c>
      <c r="D12" s="28"/>
      <c r="E12" s="46"/>
      <c r="F12" s="47"/>
      <c r="G12" s="28"/>
      <c r="H12" s="50"/>
      <c r="I12" s="28"/>
      <c r="J12" s="28"/>
      <c r="K12" s="28"/>
      <c r="N12" s="51" t="s">
        <v>70</v>
      </c>
    </row>
    <row r="13" spans="2:14" ht="20.25" customHeight="1" x14ac:dyDescent="0.2">
      <c r="B13" s="28"/>
      <c r="C13" s="45" t="s">
        <v>71</v>
      </c>
      <c r="D13" s="28"/>
      <c r="E13" s="46"/>
      <c r="F13" s="47"/>
      <c r="G13" s="28"/>
      <c r="H13" s="50"/>
      <c r="I13" s="28"/>
      <c r="J13" s="28"/>
      <c r="K13" s="28"/>
      <c r="N13" s="51">
        <v>1220</v>
      </c>
    </row>
    <row r="14" spans="2:14" ht="20.25" customHeight="1" x14ac:dyDescent="0.2">
      <c r="B14" s="28"/>
      <c r="C14" s="45" t="s">
        <v>72</v>
      </c>
      <c r="D14" s="28"/>
      <c r="E14" s="46"/>
      <c r="F14" s="52" t="s">
        <v>65</v>
      </c>
      <c r="G14" s="28"/>
      <c r="H14" s="50"/>
      <c r="I14" s="28"/>
      <c r="J14" s="28"/>
      <c r="K14" s="28"/>
      <c r="N14" s="51" t="s">
        <v>73</v>
      </c>
    </row>
    <row r="15" spans="2:14" ht="20.25" customHeight="1" x14ac:dyDescent="0.2">
      <c r="B15" s="28"/>
      <c r="C15" s="45" t="s">
        <v>74</v>
      </c>
      <c r="D15" s="28"/>
      <c r="E15" s="46"/>
      <c r="F15" s="28"/>
      <c r="G15" s="28"/>
      <c r="H15" s="50"/>
      <c r="I15" s="28"/>
      <c r="J15" s="28"/>
      <c r="K15" s="28"/>
      <c r="N15" s="51" t="s">
        <v>75</v>
      </c>
    </row>
    <row r="16" spans="2:14" ht="20.25" customHeight="1" x14ac:dyDescent="0.2">
      <c r="B16" s="28"/>
      <c r="C16" s="191"/>
      <c r="D16" s="191"/>
      <c r="E16" s="191"/>
      <c r="F16" s="191"/>
      <c r="G16" s="191"/>
      <c r="H16" s="191"/>
      <c r="I16" s="191"/>
      <c r="J16" s="191"/>
      <c r="K16" s="28"/>
      <c r="N16" s="55"/>
    </row>
    <row r="17" spans="2:14" ht="20.25" customHeight="1" x14ac:dyDescent="0.2">
      <c r="B17" s="28"/>
      <c r="C17" s="192"/>
      <c r="D17" s="192"/>
      <c r="E17" s="192"/>
      <c r="F17" s="192"/>
      <c r="G17" s="192"/>
      <c r="H17" s="192"/>
      <c r="I17" s="192"/>
      <c r="J17" s="192"/>
      <c r="K17" s="28"/>
      <c r="N17" s="55"/>
    </row>
    <row r="18" spans="2:14" ht="20.25" customHeight="1" x14ac:dyDescent="0.2">
      <c r="B18" s="28"/>
      <c r="C18" s="192"/>
      <c r="D18" s="192"/>
      <c r="E18" s="192"/>
      <c r="F18" s="192"/>
      <c r="G18" s="192"/>
      <c r="H18" s="192"/>
      <c r="I18" s="192"/>
      <c r="J18" s="192"/>
      <c r="K18" s="28"/>
      <c r="N18" s="55"/>
    </row>
    <row r="19" spans="2:14" ht="20.25" customHeight="1" x14ac:dyDescent="0.2">
      <c r="B19" s="28"/>
      <c r="C19" s="45"/>
      <c r="D19" s="28"/>
      <c r="E19" s="46"/>
      <c r="F19" s="28"/>
      <c r="G19" s="28"/>
      <c r="H19" s="50"/>
      <c r="I19" s="28"/>
      <c r="J19" s="28"/>
      <c r="K19" s="28"/>
      <c r="N19" s="55"/>
    </row>
    <row r="20" spans="2:14" ht="20.25" customHeight="1" x14ac:dyDescent="0.2">
      <c r="B20" s="28"/>
      <c r="C20" s="45" t="s">
        <v>76</v>
      </c>
      <c r="D20" s="28"/>
      <c r="E20" s="46"/>
      <c r="F20" s="28"/>
      <c r="G20" s="28"/>
      <c r="H20" s="50"/>
      <c r="I20" s="28"/>
      <c r="J20" s="28"/>
      <c r="K20" s="28"/>
      <c r="N20" s="51" t="s">
        <v>77</v>
      </c>
    </row>
    <row r="21" spans="2:14" ht="20.25" customHeight="1" x14ac:dyDescent="0.2">
      <c r="B21" s="28"/>
      <c r="C21" s="191"/>
      <c r="D21" s="191"/>
      <c r="E21" s="191"/>
      <c r="F21" s="191"/>
      <c r="G21" s="191"/>
      <c r="H21" s="191"/>
      <c r="I21" s="191"/>
      <c r="J21" s="191"/>
      <c r="K21" s="28"/>
      <c r="N21" s="55"/>
    </row>
    <row r="22" spans="2:14" ht="20.25" customHeight="1" x14ac:dyDescent="0.2">
      <c r="B22" s="28"/>
      <c r="C22" s="192"/>
      <c r="D22" s="192"/>
      <c r="E22" s="192"/>
      <c r="F22" s="192"/>
      <c r="G22" s="192"/>
      <c r="H22" s="192"/>
      <c r="I22" s="192"/>
      <c r="J22" s="192"/>
      <c r="K22" s="28"/>
      <c r="N22" s="55"/>
    </row>
    <row r="23" spans="2:14" ht="20.25" customHeight="1" x14ac:dyDescent="0.2">
      <c r="B23" s="28"/>
      <c r="C23" s="192"/>
      <c r="D23" s="192"/>
      <c r="E23" s="192"/>
      <c r="F23" s="192"/>
      <c r="G23" s="192"/>
      <c r="H23" s="192"/>
      <c r="I23" s="192"/>
      <c r="J23" s="192"/>
      <c r="K23" s="28"/>
      <c r="N23" s="55"/>
    </row>
    <row r="24" spans="2:14" x14ac:dyDescent="0.2">
      <c r="B24" s="28"/>
      <c r="C24" s="28"/>
      <c r="D24" s="28"/>
      <c r="E24" s="28"/>
      <c r="F24" s="28"/>
      <c r="G24" s="28"/>
      <c r="H24" s="50"/>
      <c r="I24" s="28"/>
      <c r="J24" s="28"/>
      <c r="K24" s="28"/>
      <c r="N24" s="55"/>
    </row>
    <row r="25" spans="2:14" x14ac:dyDescent="0.2">
      <c r="B25" s="28"/>
      <c r="C25" s="43" t="s">
        <v>78</v>
      </c>
      <c r="D25" s="28"/>
      <c r="E25" s="28"/>
      <c r="F25" s="28"/>
      <c r="G25" s="28"/>
      <c r="H25" s="28"/>
      <c r="I25" s="28"/>
      <c r="J25" s="28"/>
      <c r="K25" s="28"/>
      <c r="N25" s="51" t="s">
        <v>79</v>
      </c>
    </row>
    <row r="26" spans="2:14" ht="5.25" customHeight="1" x14ac:dyDescent="0.2">
      <c r="B26" s="28"/>
      <c r="C26" s="43"/>
      <c r="D26" s="28"/>
      <c r="E26" s="28"/>
      <c r="F26" s="28"/>
      <c r="G26" s="28"/>
      <c r="H26" s="50"/>
      <c r="I26" s="28"/>
      <c r="J26" s="28"/>
      <c r="K26" s="28"/>
      <c r="N26" s="55"/>
    </row>
    <row r="27" spans="2:14" x14ac:dyDescent="0.2">
      <c r="B27" s="28"/>
      <c r="C27" s="193"/>
      <c r="D27" s="193"/>
      <c r="E27" s="193"/>
      <c r="F27" s="193"/>
      <c r="G27" s="193"/>
      <c r="H27" s="193"/>
      <c r="I27" s="193"/>
      <c r="J27" s="193"/>
      <c r="K27" s="28"/>
    </row>
    <row r="28" spans="2:14" x14ac:dyDescent="0.2">
      <c r="B28" s="28"/>
      <c r="C28" s="194"/>
      <c r="D28" s="194"/>
      <c r="E28" s="194"/>
      <c r="F28" s="194"/>
      <c r="G28" s="194"/>
      <c r="H28" s="194"/>
      <c r="I28" s="194"/>
      <c r="J28" s="194"/>
      <c r="K28" s="28"/>
    </row>
    <row r="29" spans="2:14" x14ac:dyDescent="0.2">
      <c r="B29" s="28"/>
      <c r="C29" s="194"/>
      <c r="D29" s="194"/>
      <c r="E29" s="194"/>
      <c r="F29" s="194"/>
      <c r="G29" s="194"/>
      <c r="H29" s="194"/>
      <c r="I29" s="194"/>
      <c r="J29" s="194"/>
      <c r="K29" s="28"/>
    </row>
    <row r="30" spans="2:14" x14ac:dyDescent="0.2">
      <c r="B30" s="28"/>
      <c r="C30" s="194"/>
      <c r="D30" s="194"/>
      <c r="E30" s="194"/>
      <c r="F30" s="194"/>
      <c r="G30" s="194"/>
      <c r="H30" s="194"/>
      <c r="I30" s="194"/>
      <c r="J30" s="194"/>
      <c r="K30" s="28"/>
    </row>
    <row r="31" spans="2:14" x14ac:dyDescent="0.2">
      <c r="B31" s="28"/>
      <c r="C31" s="194"/>
      <c r="D31" s="194"/>
      <c r="E31" s="194"/>
      <c r="F31" s="194"/>
      <c r="G31" s="194"/>
      <c r="H31" s="194"/>
      <c r="I31" s="194"/>
      <c r="J31" s="194"/>
      <c r="K31" s="28"/>
    </row>
    <row r="32" spans="2:14" x14ac:dyDescent="0.2">
      <c r="B32" s="28"/>
      <c r="C32" s="194"/>
      <c r="D32" s="194"/>
      <c r="E32" s="194"/>
      <c r="F32" s="194"/>
      <c r="G32" s="194"/>
      <c r="H32" s="194"/>
      <c r="I32" s="194"/>
      <c r="J32" s="194"/>
      <c r="K32" s="28"/>
    </row>
    <row r="33" spans="2:11" x14ac:dyDescent="0.2">
      <c r="B33" s="28"/>
      <c r="C33" s="194"/>
      <c r="D33" s="194"/>
      <c r="E33" s="194"/>
      <c r="F33" s="194"/>
      <c r="G33" s="194"/>
      <c r="H33" s="194"/>
      <c r="I33" s="194"/>
      <c r="J33" s="194"/>
      <c r="K33" s="28"/>
    </row>
    <row r="34" spans="2:11" x14ac:dyDescent="0.2"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2:11" x14ac:dyDescent="0.2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1" x14ac:dyDescent="0.2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1" x14ac:dyDescent="0.2">
      <c r="B37" s="28"/>
      <c r="C37" s="28"/>
      <c r="D37" s="28"/>
      <c r="E37" s="28"/>
      <c r="F37" s="28"/>
      <c r="G37" s="28"/>
      <c r="H37" s="28"/>
      <c r="I37" s="28"/>
      <c r="J37" s="28"/>
      <c r="K37" s="28"/>
    </row>
    <row r="38" spans="2:11" x14ac:dyDescent="0.2">
      <c r="B38" s="28"/>
      <c r="C38" s="28"/>
      <c r="D38" s="28"/>
      <c r="E38" s="28"/>
      <c r="F38" s="28"/>
      <c r="G38" s="28"/>
      <c r="H38" s="28"/>
      <c r="I38" s="28"/>
      <c r="J38" s="28"/>
      <c r="K38" s="28"/>
    </row>
    <row r="39" spans="2:11" x14ac:dyDescent="0.2">
      <c r="B39" s="28"/>
      <c r="C39" s="28"/>
      <c r="D39" s="28"/>
      <c r="E39" s="28"/>
      <c r="F39" s="28"/>
      <c r="G39" s="28"/>
      <c r="H39" s="28"/>
      <c r="I39" s="28"/>
      <c r="J39" s="28"/>
      <c r="K39" s="28"/>
    </row>
    <row r="40" spans="2:11" x14ac:dyDescent="0.2">
      <c r="B40" s="28"/>
      <c r="C40" s="28"/>
      <c r="D40" s="28"/>
      <c r="E40" s="28"/>
      <c r="F40" s="28"/>
      <c r="G40" s="28"/>
      <c r="H40" s="28"/>
      <c r="I40" s="28"/>
      <c r="J40" s="28"/>
      <c r="K40" s="28"/>
    </row>
    <row r="41" spans="2:11" x14ac:dyDescent="0.2">
      <c r="B41" s="28"/>
      <c r="C41" s="28"/>
      <c r="D41" s="28"/>
      <c r="E41" s="28"/>
      <c r="F41" s="28"/>
      <c r="G41" s="28"/>
      <c r="H41" s="28"/>
      <c r="I41" s="28"/>
      <c r="J41" s="28"/>
      <c r="K41" s="28"/>
    </row>
  </sheetData>
  <sheetProtection password="CFD5" sheet="1" objects="1" scenarios="1" selectLockedCells="1"/>
  <mergeCells count="3">
    <mergeCell ref="C16:J18"/>
    <mergeCell ref="C21:J23"/>
    <mergeCell ref="C27:J33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5B547-0782-47AC-B3CF-AAAF0004F0B4}">
  <dimension ref="B2"/>
  <sheetViews>
    <sheetView workbookViewId="0">
      <selection activeCell="C13" sqref="C13"/>
    </sheetView>
  </sheetViews>
  <sheetFormatPr defaultRowHeight="12.75" x14ac:dyDescent="0.2"/>
  <sheetData>
    <row r="2" spans="2:2" ht="20.25" x14ac:dyDescent="0.3">
      <c r="B2" s="137" t="s">
        <v>121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DE81A1BD882643BDF117F07BE0FECF" ma:contentTypeVersion="15" ma:contentTypeDescription="Create a new document." ma:contentTypeScope="" ma:versionID="ea946fbb9cac9d8cebd1e327c3b9d6ce">
  <xsd:schema xmlns:xsd="http://www.w3.org/2001/XMLSchema" xmlns:xs="http://www.w3.org/2001/XMLSchema" xmlns:p="http://schemas.microsoft.com/office/2006/metadata/properties" xmlns:ns2="1ea5d932-94e3-47a8-9424-187ff5b6c338" xmlns:ns3="811803e2-254a-4f2e-9c72-4fa1e191475e" targetNamespace="http://schemas.microsoft.com/office/2006/metadata/properties" ma:root="true" ma:fieldsID="77d5642dc6420e039df81bbc4eea1b63" ns2:_="" ns3:_="">
    <xsd:import namespace="1ea5d932-94e3-47a8-9424-187ff5b6c338"/>
    <xsd:import namespace="811803e2-254a-4f2e-9c72-4fa1e191475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a5d932-94e3-47a8-9424-187ff5b6c3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1803e2-254a-4f2e-9c72-4fa1e191475e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400192-EA7F-4A0F-BFF9-A681164FD9A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A6D921A-3A84-4B62-86FF-C76BE8308959}">
  <ds:schemaRefs>
    <ds:schemaRef ds:uri="http://purl.org/dc/terms/"/>
    <ds:schemaRef ds:uri="811803e2-254a-4f2e-9c72-4fa1e191475e"/>
    <ds:schemaRef ds:uri="http://schemas.microsoft.com/office/2006/documentManagement/types"/>
    <ds:schemaRef ds:uri="http://schemas.microsoft.com/office/infopath/2007/PartnerControls"/>
    <ds:schemaRef ds:uri="1ea5d932-94e3-47a8-9424-187ff5b6c33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9B2B69C-483C-4B46-865F-8C99A20C2E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a5d932-94e3-47a8-9424-187ff5b6c338"/>
    <ds:schemaRef ds:uri="811803e2-254a-4f2e-9c72-4fa1e19147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Start</vt:lpstr>
      <vt:lpstr>Cover</vt:lpstr>
      <vt:lpstr>Authorisation</vt:lpstr>
      <vt:lpstr>PASS</vt:lpstr>
      <vt:lpstr>Account</vt:lpstr>
      <vt:lpstr>Address1</vt:lpstr>
      <vt:lpstr>E29a</vt:lpstr>
      <vt:lpstr>Email</vt:lpstr>
      <vt:lpstr>erp_code</vt:lpstr>
      <vt:lpstr>JobTitle</vt:lpstr>
      <vt:lpstr>Phone</vt:lpstr>
      <vt:lpstr>PrimaryContact</vt:lpstr>
      <vt:lpstr>Cover!Print_Area</vt:lpstr>
      <vt:lpstr>Quote</vt:lpstr>
      <vt:lpstr>QuoteNumber</vt:lpstr>
      <vt:lpstr>Salesman</vt:lpstr>
      <vt:lpstr>Topic</vt:lpstr>
    </vt:vector>
  </TitlesOfParts>
  <Company>Matthews Australasia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Trent Munro</dc:creator>
  <cp:lastModifiedBy>Danuja Chandrasena</cp:lastModifiedBy>
  <cp:lastPrinted>2012-10-10T00:37:44Z</cp:lastPrinted>
  <dcterms:created xsi:type="dcterms:W3CDTF">2008-03-20T00:05:27Z</dcterms:created>
  <dcterms:modified xsi:type="dcterms:W3CDTF">2020-08-05T05:38:24Z</dcterms:modified>
  <cp:category>Misc 1.2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0x010100A4DE81A1BD882643BDF117F07BE0FECF</vt:lpwstr>
  </property>
  <property fmtid="{D5CDD505-2E9C-101B-9397-08002B2CF9AE}" pid="3" name="Order">
    <vt:r8>4046700</vt:r8>
  </property>
</Properties>
</file>